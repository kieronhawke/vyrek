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word Database" sheetId="1" state="visible" r:id="rId3"/>
    <sheet name="Client Quick Wins" sheetId="2" state="visible" r:id="rId4"/>
    <sheet name="Buyer Intent Analysis" sheetId="3" state="visible" r:id="rId5"/>
    <sheet name="Location Page Targets" sheetId="4" state="visible" r:id="rId6"/>
    <sheet name="Method &amp; Legend" sheetId="5" state="visible" r:id="rId7"/>
  </sheets>
  <definedNames>
    <definedName function="false" hidden="true" localSheetId="0" name="_xlnm._FilterDatabase" vbProcedure="false">'Keyword Database'!$A$1:$M$426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<sst xmlns="http://schemas.openxmlformats.org/spreadsheetml/2006/main" count="3094" uniqueCount="564">
  <si>
    <t xml:space="preserve">#</t>
  </si>
  <si>
    <t xml:space="preserve">Keyword</t>
  </si>
  <si>
    <t xml:space="preserve">Segment</t>
  </si>
  <si>
    <t xml:space="preserve">Buyer Type</t>
  </si>
  <si>
    <t xml:space="preserve">Intent</t>
  </si>
  <si>
    <t xml:space="preserve">Volume</t>
  </si>
  <si>
    <t xml:space="preserve">KD %</t>
  </si>
  <si>
    <t xml:space="preserve">CPC (USD)</t>
  </si>
  <si>
    <t xml:space="preserve">Opportunity Score</t>
  </si>
  <si>
    <t xml:space="preserve">Priority</t>
  </si>
  <si>
    <t xml:space="preserve">Cluster</t>
  </si>
  <si>
    <t xml:space="preserve">Status</t>
  </si>
  <si>
    <t xml:space="preserve">Notes</t>
  </si>
  <si>
    <t xml:space="preserve">hyrox</t>
  </si>
  <si>
    <t xml:space="preserve">Hyrox</t>
  </si>
  <si>
    <t xml:space="preserve">Client</t>
  </si>
  <si>
    <t xml:space="preserve">Navigational</t>
  </si>
  <si>
    <t xml:space="preserve">Fundamentals</t>
  </si>
  <si>
    <t xml:space="preserve">Not started</t>
  </si>
  <si>
    <t xml:space="preserve">hyrox workout</t>
  </si>
  <si>
    <t xml:space="preserve">Informational</t>
  </si>
  <si>
    <t xml:space="preserve">Workouts</t>
  </si>
  <si>
    <t xml:space="preserve">hyrox london</t>
  </si>
  <si>
    <t xml:space="preserve">Race Events</t>
  </si>
  <si>
    <t xml:space="preserve">hyrox results</t>
  </si>
  <si>
    <t xml:space="preserve">Results &amp; Data</t>
  </si>
  <si>
    <t xml:space="preserve">hyrox glasgow</t>
  </si>
  <si>
    <t xml:space="preserve">hyrox birmingham</t>
  </si>
  <si>
    <t xml:space="preserve">hyrox events</t>
  </si>
  <si>
    <t xml:space="preserve">hyrox glasgow 2026</t>
  </si>
  <si>
    <t xml:space="preserve">hyrox london 2025</t>
  </si>
  <si>
    <t xml:space="preserve">what does hyrox stand for</t>
  </si>
  <si>
    <t xml:space="preserve">hyrox london 2026</t>
  </si>
  <si>
    <t xml:space="preserve">hyrox dublin</t>
  </si>
  <si>
    <t xml:space="preserve">Transactional</t>
  </si>
  <si>
    <t xml:space="preserve">hyrox birmingham 2025</t>
  </si>
  <si>
    <t xml:space="preserve">hyrox training</t>
  </si>
  <si>
    <t xml:space="preserve">Training Plans</t>
  </si>
  <si>
    <t xml:space="preserve">hyrox training plan</t>
  </si>
  <si>
    <t xml:space="preserve">Info/Commercial</t>
  </si>
  <si>
    <t xml:space="preserve">hyrox stations</t>
  </si>
  <si>
    <t xml:space="preserve">Stations &amp; Rules</t>
  </si>
  <si>
    <t xml:space="preserve">hyrox meaning</t>
  </si>
  <si>
    <t xml:space="preserve">hyrox trainers</t>
  </si>
  <si>
    <t xml:space="preserve">Commercial</t>
  </si>
  <si>
    <t xml:space="preserve">Gear</t>
  </si>
  <si>
    <t xml:space="preserve">hyrox exercises</t>
  </si>
  <si>
    <t xml:space="preserve">london hyrox</t>
  </si>
  <si>
    <t xml:space="preserve">what is hyrox training</t>
  </si>
  <si>
    <t xml:space="preserve">hyrox weights</t>
  </si>
  <si>
    <t xml:space="preserve">hyrox sled push weight</t>
  </si>
  <si>
    <t xml:space="preserve">cardiff hyrox</t>
  </si>
  <si>
    <t xml:space="preserve">hyrox races</t>
  </si>
  <si>
    <t xml:space="preserve">Info/Transactional</t>
  </si>
  <si>
    <t xml:space="preserve">hyrox bag</t>
  </si>
  <si>
    <t xml:space="preserve">hyrox start list</t>
  </si>
  <si>
    <t xml:space="preserve">Transactional/Nav</t>
  </si>
  <si>
    <t xml:space="preserve">hyrox madrid</t>
  </si>
  <si>
    <t xml:space="preserve">london hyrox 2025</t>
  </si>
  <si>
    <t xml:space="preserve">hyrox workouts</t>
  </si>
  <si>
    <t xml:space="preserve">what is a hyrox</t>
  </si>
  <si>
    <t xml:space="preserve">hyrox gym</t>
  </si>
  <si>
    <t xml:space="preserve">Facility</t>
  </si>
  <si>
    <t xml:space="preserve">Coaching &amp; Gyms</t>
  </si>
  <si>
    <t xml:space="preserve">hyrox start times</t>
  </si>
  <si>
    <t xml:space="preserve">hyrox malaga</t>
  </si>
  <si>
    <t xml:space="preserve">hyrox rome</t>
  </si>
  <si>
    <t xml:space="preserve">hyrox racing</t>
  </si>
  <si>
    <t xml:space="preserve">best trainers for hyrox</t>
  </si>
  <si>
    <t xml:space="preserve">dublin hyrox</t>
  </si>
  <si>
    <t xml:space="preserve">hyrox training near me</t>
  </si>
  <si>
    <t xml:space="preserve">hyrox gyms</t>
  </si>
  <si>
    <t xml:space="preserve">hyrox logo</t>
  </si>
  <si>
    <t xml:space="preserve">Other</t>
  </si>
  <si>
    <t xml:space="preserve">Brand/Nav</t>
  </si>
  <si>
    <t xml:space="preserve">hyrox olympia</t>
  </si>
  <si>
    <t xml:space="preserve">hyrox sled weight</t>
  </si>
  <si>
    <t xml:space="preserve">hyrox rules</t>
  </si>
  <si>
    <t xml:space="preserve">hyrox format</t>
  </si>
  <si>
    <t xml:space="preserve">hyrox classes</t>
  </si>
  <si>
    <t xml:space="preserve">hyrox ticket</t>
  </si>
  <si>
    <t xml:space="preserve">Tickets</t>
  </si>
  <si>
    <t xml:space="preserve">hydrox training</t>
  </si>
  <si>
    <t xml:space="preserve">Misspellings</t>
  </si>
  <si>
    <t xml:space="preserve">hyrox rankings</t>
  </si>
  <si>
    <t xml:space="preserve">hyrox oslo</t>
  </si>
  <si>
    <t xml:space="preserve">hydrox london</t>
  </si>
  <si>
    <t xml:space="preserve">hyrox workout plan</t>
  </si>
  <si>
    <t xml:space="preserve">hyrox race format</t>
  </si>
  <si>
    <t xml:space="preserve">hyrox womens weights</t>
  </si>
  <si>
    <t xml:space="preserve">hyrox what is it</t>
  </si>
  <si>
    <t xml:space="preserve">what is hyrox short for</t>
  </si>
  <si>
    <t xml:space="preserve">what is hydrox</t>
  </si>
  <si>
    <t xml:space="preserve">hyrox class</t>
  </si>
  <si>
    <t xml:space="preserve">best hyrox trainers</t>
  </si>
  <si>
    <t xml:space="preserve">hyrox chicago</t>
  </si>
  <si>
    <t xml:space="preserve">how to train for hyrox</t>
  </si>
  <si>
    <t xml:space="preserve">hyrox distances</t>
  </si>
  <si>
    <t xml:space="preserve">hyrox doubles rules</t>
  </si>
  <si>
    <t xml:space="preserve">hyrox fitness</t>
  </si>
  <si>
    <t xml:space="preserve">hyrox trainers women</t>
  </si>
  <si>
    <t xml:space="preserve">hyrox shop</t>
  </si>
  <si>
    <t xml:space="preserve">hyrox volunteer</t>
  </si>
  <si>
    <t xml:space="preserve">Community</t>
  </si>
  <si>
    <t xml:space="preserve">hyrox poland</t>
  </si>
  <si>
    <t xml:space="preserve">hyrox poznan</t>
  </si>
  <si>
    <t xml:space="preserve">hyrox calendar</t>
  </si>
  <si>
    <t xml:space="preserve">hyrox dates</t>
  </si>
  <si>
    <t xml:space="preserve">hyrox world champs</t>
  </si>
  <si>
    <t xml:space="preserve">hyrox world championship</t>
  </si>
  <si>
    <t xml:space="preserve">hyrox world championships</t>
  </si>
  <si>
    <t xml:space="preserve">hyrox 2025</t>
  </si>
  <si>
    <t xml:space="preserve">hyrox circuit</t>
  </si>
  <si>
    <t xml:space="preserve">what is hyrox workout</t>
  </si>
  <si>
    <t xml:space="preserve">hyrox exercise order</t>
  </si>
  <si>
    <t xml:space="preserve">hyrox station order</t>
  </si>
  <si>
    <t xml:space="preserve">hyrox stands for</t>
  </si>
  <si>
    <t xml:space="preserve">hyrox challenge</t>
  </si>
  <si>
    <t xml:space="preserve">hyrox elite 15</t>
  </si>
  <si>
    <t xml:space="preserve">hyrox merchandise</t>
  </si>
  <si>
    <t xml:space="preserve">hydrox competition</t>
  </si>
  <si>
    <t xml:space="preserve">hydrox sport</t>
  </si>
  <si>
    <t xml:space="preserve">hyrox result</t>
  </si>
  <si>
    <t xml:space="preserve">what is a good hyrox time</t>
  </si>
  <si>
    <t xml:space="preserve">madrid hyrox</t>
  </si>
  <si>
    <t xml:space="preserve">hyrox riga</t>
  </si>
  <si>
    <t xml:space="preserve">hyrox world championships 2025</t>
  </si>
  <si>
    <t xml:space="preserve">hyrox course</t>
  </si>
  <si>
    <t xml:space="preserve">hydrox workout</t>
  </si>
  <si>
    <t xml:space="preserve">hyrox burpee broad jump</t>
  </si>
  <si>
    <t xml:space="preserve">hyrox mens weights</t>
  </si>
  <si>
    <t xml:space="preserve">sled push hyrox weight</t>
  </si>
  <si>
    <t xml:space="preserve">sled pull weight hyrox</t>
  </si>
  <si>
    <t xml:space="preserve">hyrox weights for men</t>
  </si>
  <si>
    <t xml:space="preserve">hyrox stand for</t>
  </si>
  <si>
    <t xml:space="preserve">what's hyrox</t>
  </si>
  <si>
    <t xml:space="preserve">hyrox bags</t>
  </si>
  <si>
    <t xml:space="preserve">hyrox equipment</t>
  </si>
  <si>
    <t xml:space="preserve">hyrox account</t>
  </si>
  <si>
    <t xml:space="preserve">hyrox world records</t>
  </si>
  <si>
    <t xml:space="preserve">hyrox competitions</t>
  </si>
  <si>
    <t xml:space="preserve">hyrox training program</t>
  </si>
  <si>
    <t xml:space="preserve">hyrox workout example</t>
  </si>
  <si>
    <t xml:space="preserve">hyrox wod</t>
  </si>
  <si>
    <t xml:space="preserve">hyrox weight</t>
  </si>
  <si>
    <t xml:space="preserve">hyrox stations and weights</t>
  </si>
  <si>
    <t xml:space="preserve">hyrox age groups</t>
  </si>
  <si>
    <t xml:space="preserve">hyrox pro</t>
  </si>
  <si>
    <t xml:space="preserve">hyrox world</t>
  </si>
  <si>
    <t xml:space="preserve">hirox sports</t>
  </si>
  <si>
    <t xml:space="preserve">hirox sport</t>
  </si>
  <si>
    <t xml:space="preserve">hydrox uk</t>
  </si>
  <si>
    <t xml:space="preserve">hyrox times results</t>
  </si>
  <si>
    <t xml:space="preserve">hyrox results today</t>
  </si>
  <si>
    <t xml:space="preserve">hyrox chicago results</t>
  </si>
  <si>
    <t xml:space="preserve">hyrox time</t>
  </si>
  <si>
    <t xml:space="preserve">hyrox schedule</t>
  </si>
  <si>
    <t xml:space="preserve">hyrox belgium</t>
  </si>
  <si>
    <t xml:space="preserve">hyrox poland 2025</t>
  </si>
  <si>
    <t xml:space="preserve">hyrox style workout</t>
  </si>
  <si>
    <t xml:space="preserve">hyrox exercises order</t>
  </si>
  <si>
    <t xml:space="preserve">hyrox exercise list</t>
  </si>
  <si>
    <t xml:space="preserve">hyrox session</t>
  </si>
  <si>
    <t xml:space="preserve">hyrox open weights</t>
  </si>
  <si>
    <t xml:space="preserve">hyrox lunge weight</t>
  </si>
  <si>
    <t xml:space="preserve">hyrox burpee broad jumps</t>
  </si>
  <si>
    <t xml:space="preserve">burpee broad jump hyrox</t>
  </si>
  <si>
    <t xml:space="preserve">hyrox women's doubles</t>
  </si>
  <si>
    <t xml:space="preserve">hyrox womens</t>
  </si>
  <si>
    <t xml:space="preserve">what does hyrox consist of</t>
  </si>
  <si>
    <t xml:space="preserve">what is hyrox race</t>
  </si>
  <si>
    <t xml:space="preserve">is hyrox crossfit</t>
  </si>
  <si>
    <t xml:space="preserve">hyrox for beginners</t>
  </si>
  <si>
    <t xml:space="preserve">Beginner</t>
  </si>
  <si>
    <t xml:space="preserve">hydrox gym</t>
  </si>
  <si>
    <t xml:space="preserve">hyrox spain</t>
  </si>
  <si>
    <t xml:space="preserve">hyrox competition near me</t>
  </si>
  <si>
    <t xml:space="preserve">hyrox training programme</t>
  </si>
  <si>
    <t xml:space="preserve">hyrox workout plans</t>
  </si>
  <si>
    <t xml:space="preserve">hyrox training workouts</t>
  </si>
  <si>
    <t xml:space="preserve">hyrox routine</t>
  </si>
  <si>
    <t xml:space="preserve">hyrox activities</t>
  </si>
  <si>
    <t xml:space="preserve">hyrox exercise</t>
  </si>
  <si>
    <t xml:space="preserve">what is the hyrox workout</t>
  </si>
  <si>
    <t xml:space="preserve">hyrox competition workout</t>
  </si>
  <si>
    <t xml:space="preserve">hyrox run</t>
  </si>
  <si>
    <t xml:space="preserve">hyrox lunges</t>
  </si>
  <si>
    <t xml:space="preserve">hyrox lunges weight</t>
  </si>
  <si>
    <t xml:space="preserve">hyrox burpee broad jump rules</t>
  </si>
  <si>
    <t xml:space="preserve">beginner hyrox workout</t>
  </si>
  <si>
    <t xml:space="preserve">hyrox clothes</t>
  </si>
  <si>
    <t xml:space="preserve">trainers for hyrox</t>
  </si>
  <si>
    <t xml:space="preserve">hyrox flex add on</t>
  </si>
  <si>
    <t xml:space="preserve">hyrox volunteer uk</t>
  </si>
  <si>
    <t xml:space="preserve">hyrox youtube</t>
  </si>
  <si>
    <t xml:space="preserve">hyrox glasgow start times</t>
  </si>
  <si>
    <t xml:space="preserve">hyrox glasgow map</t>
  </si>
  <si>
    <t xml:space="preserve">hyrox italy</t>
  </si>
  <si>
    <t xml:space="preserve">hyrox scotland</t>
  </si>
  <si>
    <t xml:space="preserve">hyrox locations</t>
  </si>
  <si>
    <t xml:space="preserve">hyrox ireland</t>
  </si>
  <si>
    <t xml:space="preserve">hyrox hamburg</t>
  </si>
  <si>
    <t xml:space="preserve">hyrox events in order</t>
  </si>
  <si>
    <t xml:space="preserve">hyrox training plans</t>
  </si>
  <si>
    <t xml:space="preserve">train for hyrox</t>
  </si>
  <si>
    <t xml:space="preserve">how to train for a hyrox</t>
  </si>
  <si>
    <t xml:space="preserve">training for hyrox</t>
  </si>
  <si>
    <t xml:space="preserve">hyrox plan</t>
  </si>
  <si>
    <t xml:space="preserve">12 week hyrox training plan</t>
  </si>
  <si>
    <t xml:space="preserve">how long to train for hyrox</t>
  </si>
  <si>
    <t xml:space="preserve">hyrox movements</t>
  </si>
  <si>
    <t xml:space="preserve">hyrox doubles workout</t>
  </si>
  <si>
    <t xml:space="preserve">full hyrox workout</t>
  </si>
  <si>
    <t xml:space="preserve">hyrox singles</t>
  </si>
  <si>
    <t xml:space="preserve">hyrox lunges distance</t>
  </si>
  <si>
    <t xml:space="preserve">sled weight hyrox</t>
  </si>
  <si>
    <t xml:space="preserve">hyrox definition</t>
  </si>
  <si>
    <t xml:space="preserve">elite 15 hyrox</t>
  </si>
  <si>
    <t xml:space="preserve">hyrox partner</t>
  </si>
  <si>
    <t xml:space="preserve">Partner</t>
  </si>
  <si>
    <t xml:space="preserve">hyrox 365</t>
  </si>
  <si>
    <t xml:space="preserve">hydrox events</t>
  </si>
  <si>
    <t xml:space="preserve">hyrdox</t>
  </si>
  <si>
    <t xml:space="preserve">hyrox doubles world record</t>
  </si>
  <si>
    <t xml:space="preserve">hyrox germany</t>
  </si>
  <si>
    <t xml:space="preserve">hyrox australia</t>
  </si>
  <si>
    <t xml:space="preserve">hyrox glasgow live stream</t>
  </si>
  <si>
    <t xml:space="preserve">hyrox events uk 2025</t>
  </si>
  <si>
    <t xml:space="preserve">hyrox training programs</t>
  </si>
  <si>
    <t xml:space="preserve">hyrox 12 week training plan pdf</t>
  </si>
  <si>
    <t xml:space="preserve">free hyrox training plan</t>
  </si>
  <si>
    <t xml:space="preserve">hyrox programme</t>
  </si>
  <si>
    <t xml:space="preserve">hyrox simulation workout</t>
  </si>
  <si>
    <t xml:space="preserve">hyrox partner workout</t>
  </si>
  <si>
    <t xml:space="preserve">hyrox gym workout</t>
  </si>
  <si>
    <t xml:space="preserve">mini hyrox workout</t>
  </si>
  <si>
    <t xml:space="preserve">hyrox strength workout</t>
  </si>
  <si>
    <t xml:space="preserve">what is a hyrox workout</t>
  </si>
  <si>
    <t xml:space="preserve">hyrox running</t>
  </si>
  <si>
    <t xml:space="preserve">hyrox sandbag weights</t>
  </si>
  <si>
    <t xml:space="preserve">hyrox sandbag lunges weight</t>
  </si>
  <si>
    <t xml:space="preserve">hyrox weights men</t>
  </si>
  <si>
    <t xml:space="preserve">hyrox burpee broad jump distance</t>
  </si>
  <si>
    <t xml:space="preserve">womens hyrox</t>
  </si>
  <si>
    <t xml:space="preserve">hyrox workout for beginners</t>
  </si>
  <si>
    <t xml:space="preserve">hyrox training plan for beginners</t>
  </si>
  <si>
    <t xml:space="preserve">hyrox fitness test</t>
  </si>
  <si>
    <t xml:space="preserve">hyrox training clubs</t>
  </si>
  <si>
    <t xml:space="preserve">hyrox affiliate</t>
  </si>
  <si>
    <t xml:space="preserve">hyrox gift</t>
  </si>
  <si>
    <t xml:space="preserve">hyrox entry fee</t>
  </si>
  <si>
    <t xml:space="preserve">hyrox ticket prices</t>
  </si>
  <si>
    <t xml:space="preserve">how much is a hyrox ticket</t>
  </si>
  <si>
    <t xml:space="preserve">hyrox volunteers</t>
  </si>
  <si>
    <t xml:space="preserve">what is hyroc</t>
  </si>
  <si>
    <t xml:space="preserve">hryox</t>
  </si>
  <si>
    <t xml:space="preserve">hyrox.</t>
  </si>
  <si>
    <t xml:space="preserve">hyrox world championships results</t>
  </si>
  <si>
    <t xml:space="preserve">hyrox.glasgow</t>
  </si>
  <si>
    <t xml:space="preserve">hyrox programmes</t>
  </si>
  <si>
    <t xml:space="preserve">hyrox circuit workout</t>
  </si>
  <si>
    <t xml:space="preserve">hyrox workout examples</t>
  </si>
  <si>
    <t xml:space="preserve">what are the hyrox exercises</t>
  </si>
  <si>
    <t xml:space="preserve">how does hyrox work</t>
  </si>
  <si>
    <t xml:space="preserve">hyrox beginner training plan</t>
  </si>
  <si>
    <t xml:space="preserve">hyrox beginner workouts</t>
  </si>
  <si>
    <t xml:space="preserve">hyrox beginner</t>
  </si>
  <si>
    <t xml:space="preserve">hyrox gym manchester</t>
  </si>
  <si>
    <t xml:space="preserve">hyrox app</t>
  </si>
  <si>
    <t xml:space="preserve">hyrox diet</t>
  </si>
  <si>
    <t xml:space="preserve">Nutrition</t>
  </si>
  <si>
    <t xml:space="preserve">hyrox ranking</t>
  </si>
  <si>
    <t xml:space="preserve">hyrox paris results</t>
  </si>
  <si>
    <t xml:space="preserve">personal trainer jobs</t>
  </si>
  <si>
    <t xml:space="preserve">Personal Training</t>
  </si>
  <si>
    <t xml:space="preserve">Job Seeker</t>
  </si>
  <si>
    <t xml:space="preserve">PT Jobs</t>
  </si>
  <si>
    <t xml:space="preserve">personal fitness instructor jobs</t>
  </si>
  <si>
    <t xml:space="preserve">how much is a personal trainer</t>
  </si>
  <si>
    <t xml:space="preserve">PT Pricing</t>
  </si>
  <si>
    <t xml:space="preserve">personal trainer manchester uk</t>
  </si>
  <si>
    <t xml:space="preserve">PT Location</t>
  </si>
  <si>
    <t xml:space="preserve">how much is a physical trainer</t>
  </si>
  <si>
    <t xml:space="preserve">body conditioning class</t>
  </si>
  <si>
    <t xml:space="preserve">Classes</t>
  </si>
  <si>
    <t xml:space="preserve">personal trainer jobs near me</t>
  </si>
  <si>
    <t xml:space="preserve">personal fitness trainer jobs</t>
  </si>
  <si>
    <t xml:space="preserve">personal fitness trainer jobs near me</t>
  </si>
  <si>
    <t xml:space="preserve">personal trainer bristol</t>
  </si>
  <si>
    <t xml:space="preserve">personal trainer vacancies london</t>
  </si>
  <si>
    <t xml:space="preserve">womens only gym near me</t>
  </si>
  <si>
    <t xml:space="preserve">PT Niche</t>
  </si>
  <si>
    <t xml:space="preserve">pilates studios near me</t>
  </si>
  <si>
    <t xml:space="preserve">coach gym</t>
  </si>
  <si>
    <t xml:space="preserve">personal trainer wanted london</t>
  </si>
  <si>
    <t xml:space="preserve">personal trainer vacancies</t>
  </si>
  <si>
    <t xml:space="preserve">trainer qualifications uk</t>
  </si>
  <si>
    <t xml:space="preserve">Course Buyer</t>
  </si>
  <si>
    <t xml:space="preserve">PT Courses</t>
  </si>
  <si>
    <t xml:space="preserve">level 3 personal trainer course online</t>
  </si>
  <si>
    <t xml:space="preserve">personal trainer bournemouth</t>
  </si>
  <si>
    <t xml:space="preserve">trainer costs</t>
  </si>
  <si>
    <t xml:space="preserve">group personal training</t>
  </si>
  <si>
    <t xml:space="preserve">PT Service</t>
  </si>
  <si>
    <t xml:space="preserve">fitness careers london</t>
  </si>
  <si>
    <t xml:space="preserve">personal trainer brighton</t>
  </si>
  <si>
    <t xml:space="preserve">personal trainer cambridge</t>
  </si>
  <si>
    <t xml:space="preserve">personal fitness trainer nottingham</t>
  </si>
  <si>
    <t xml:space="preserve">personal trainer northampton</t>
  </si>
  <si>
    <t xml:space="preserve">fitness trainer cardiff</t>
  </si>
  <si>
    <t xml:space="preserve">fitness first careers</t>
  </si>
  <si>
    <t xml:space="preserve">job instructor fitness</t>
  </si>
  <si>
    <t xml:space="preserve">fitness work london</t>
  </si>
  <si>
    <t xml:space="preserve">fitness personal training jobs</t>
  </si>
  <si>
    <t xml:space="preserve">online personal training course</t>
  </si>
  <si>
    <t xml:space="preserve">personal trainer york</t>
  </si>
  <si>
    <t xml:space="preserve">personal trainer coventry uk</t>
  </si>
  <si>
    <t xml:space="preserve">personal trainer southampton</t>
  </si>
  <si>
    <t xml:space="preserve">cost of personal trainer</t>
  </si>
  <si>
    <t xml:space="preserve">first class fitness</t>
  </si>
  <si>
    <t xml:space="preserve">u gym</t>
  </si>
  <si>
    <t xml:space="preserve">pt jobs</t>
  </si>
  <si>
    <t xml:space="preserve">gym apprenticeships</t>
  </si>
  <si>
    <t xml:space="preserve">fitness instructor jobs london</t>
  </si>
  <si>
    <t xml:space="preserve">fitness instructor apprenticeship</t>
  </si>
  <si>
    <t xml:space="preserve">personal trainer aberdeen</t>
  </si>
  <si>
    <t xml:space="preserve">personal trainer watford</t>
  </si>
  <si>
    <t xml:space="preserve">personal trainer reading uk</t>
  </si>
  <si>
    <t xml:space="preserve">norwich personal trainer</t>
  </si>
  <si>
    <t xml:space="preserve">personal trainers birmingham uk</t>
  </si>
  <si>
    <t xml:space="preserve">personal trainers in manchester</t>
  </si>
  <si>
    <t xml:space="preserve">female personal trainer london</t>
  </si>
  <si>
    <t xml:space="preserve">fitness trainer northampton</t>
  </si>
  <si>
    <t xml:space="preserve">exercise classes for women</t>
  </si>
  <si>
    <t xml:space="preserve">anytime fitness welwyn garden city</t>
  </si>
  <si>
    <t xml:space="preserve">personal training jobs london</t>
  </si>
  <si>
    <t xml:space="preserve">gym instructor jobs near me</t>
  </si>
  <si>
    <t xml:space="preserve">gym instructor jobs london</t>
  </si>
  <si>
    <t xml:space="preserve">jobs trainer</t>
  </si>
  <si>
    <t xml:space="preserve">personal training apprenticeship</t>
  </si>
  <si>
    <t xml:space="preserve">certificate in personal training</t>
  </si>
  <si>
    <t xml:space="preserve">government funded personal training courses</t>
  </si>
  <si>
    <t xml:space="preserve">government funded pt courses</t>
  </si>
  <si>
    <t xml:space="preserve">personal training courses glasgow</t>
  </si>
  <si>
    <t xml:space="preserve">personal trainer croydon</t>
  </si>
  <si>
    <t xml:space="preserve">personal trainer poole</t>
  </si>
  <si>
    <t xml:space="preserve">personal trainer kensington</t>
  </si>
  <si>
    <t xml:space="preserve">personal trainer bedford</t>
  </si>
  <si>
    <t xml:space="preserve">personal trainer birmingham uk</t>
  </si>
  <si>
    <t xml:space="preserve">personal trainer leicestershire</t>
  </si>
  <si>
    <t xml:space="preserve">personal trainer southampton uk</t>
  </si>
  <si>
    <t xml:space="preserve">personal trainer canterbury</t>
  </si>
  <si>
    <t xml:space="preserve">personal training cardiff</t>
  </si>
  <si>
    <t xml:space="preserve">personal training bournemouth</t>
  </si>
  <si>
    <t xml:space="preserve">fitness trainer aberdeen</t>
  </si>
  <si>
    <t xml:space="preserve">corporate personal training</t>
  </si>
  <si>
    <t xml:space="preserve">body conditioning classes</t>
  </si>
  <si>
    <t xml:space="preserve">fitness classes milton keynes</t>
  </si>
  <si>
    <t xml:space="preserve">fitness first brighton</t>
  </si>
  <si>
    <t xml:space="preserve">fitness at the street</t>
  </si>
  <si>
    <t xml:space="preserve">fitness apprenticeship</t>
  </si>
  <si>
    <t xml:space="preserve">fitness trainer jobs</t>
  </si>
  <si>
    <t xml:space="preserve">gym coach jobs</t>
  </si>
  <si>
    <t xml:space="preserve">fitness instructor job</t>
  </si>
  <si>
    <t xml:space="preserve">trainer jobs near me</t>
  </si>
  <si>
    <t xml:space="preserve">personal training jobs london uk</t>
  </si>
  <si>
    <t xml:space="preserve">job gym part time</t>
  </si>
  <si>
    <t xml:space="preserve">jobs in gyms</t>
  </si>
  <si>
    <t xml:space="preserve">personal training and nutrition courses</t>
  </si>
  <si>
    <t xml:space="preserve">how much do personal trainers earn uk</t>
  </si>
  <si>
    <t xml:space="preserve">how much does a fitness trainer earn</t>
  </si>
  <si>
    <t xml:space="preserve">how much do professional trainers make</t>
  </si>
  <si>
    <t xml:space="preserve">pt courses glasgow</t>
  </si>
  <si>
    <t xml:space="preserve">personal training courses belfast</t>
  </si>
  <si>
    <t xml:space="preserve">personal trainer oxford uk</t>
  </si>
  <si>
    <t xml:space="preserve">personal trainers birmingham</t>
  </si>
  <si>
    <t xml:space="preserve">birmingham personal trainer</t>
  </si>
  <si>
    <t xml:space="preserve">personal trainer cambridge uk</t>
  </si>
  <si>
    <t xml:space="preserve">personal trainer worcester</t>
  </si>
  <si>
    <t xml:space="preserve">personal trainer york uk</t>
  </si>
  <si>
    <t xml:space="preserve">personal fitness trainer worcester</t>
  </si>
  <si>
    <t xml:space="preserve">personal training bristol</t>
  </si>
  <si>
    <t xml:space="preserve">personal trainer for elderly</t>
  </si>
  <si>
    <t xml:space="preserve">personal trainer kent</t>
  </si>
  <si>
    <t xml:space="preserve">personal trainer slough</t>
  </si>
  <si>
    <t xml:space="preserve">aberdeen personal trainer</t>
  </si>
  <si>
    <t xml:space="preserve">personal training 1 on 1</t>
  </si>
  <si>
    <t xml:space="preserve">home personal trainer</t>
  </si>
  <si>
    <t xml:space="preserve">fitness trainer for seniors</t>
  </si>
  <si>
    <t xml:space="preserve">physical trainers for seniors</t>
  </si>
  <si>
    <t xml:space="preserve">personal trainer for over 60 near me</t>
  </si>
  <si>
    <t xml:space="preserve">gym membership for over 60s</t>
  </si>
  <si>
    <t xml:space="preserve">fitness classes near me for ladies</t>
  </si>
  <si>
    <t xml:space="preserve">only women gym near me</t>
  </si>
  <si>
    <t xml:space="preserve">fitness classes bedford</t>
  </si>
  <si>
    <t xml:space="preserve">fitness classes croydon</t>
  </si>
  <si>
    <t xml:space="preserve">online fitness jobs</t>
  </si>
  <si>
    <t xml:space="preserve">fitness jobs manchester</t>
  </si>
  <si>
    <t xml:space="preserve">personal trainer job london</t>
  </si>
  <si>
    <t xml:space="preserve">nutrition courses for personal trainers</t>
  </si>
  <si>
    <t xml:space="preserve">personal training course leeds</t>
  </si>
  <si>
    <t xml:space="preserve">personal training courses cardiff</t>
  </si>
  <si>
    <t xml:space="preserve">personal trainer course glasgow</t>
  </si>
  <si>
    <t xml:space="preserve">personal trainer course leeds</t>
  </si>
  <si>
    <t xml:space="preserve">personal trainer courses manchester</t>
  </si>
  <si>
    <t xml:space="preserve">fitness instructor course glasgow</t>
  </si>
  <si>
    <t xml:space="preserve">personal training courses liverpool</t>
  </si>
  <si>
    <t xml:space="preserve">personal training courses newcastle upon tyne</t>
  </si>
  <si>
    <t xml:space="preserve">personal trainer course cardiff</t>
  </si>
  <si>
    <t xml:space="preserve">fitness instructor course liverpool</t>
  </si>
  <si>
    <t xml:space="preserve">personal trainer courses norwich</t>
  </si>
  <si>
    <t xml:space="preserve">fitness training scotland</t>
  </si>
  <si>
    <t xml:space="preserve">personal trainer chelmsford</t>
  </si>
  <si>
    <t xml:space="preserve">personal trainer chelmsford uk</t>
  </si>
  <si>
    <t xml:space="preserve">personal trainer bath uk</t>
  </si>
  <si>
    <t xml:space="preserve">personal trainer portsmouth uk</t>
  </si>
  <si>
    <t xml:space="preserve">personal trainer bradford west yorkshire</t>
  </si>
  <si>
    <t xml:space="preserve">personal trainers nottingham</t>
  </si>
  <si>
    <t xml:space="preserve">personal trainers in birmingham</t>
  </si>
  <si>
    <t xml:space="preserve">personal trainer norwich uk</t>
  </si>
  <si>
    <t xml:space="preserve">personal trainers exeter</t>
  </si>
  <si>
    <t xml:space="preserve">personal trainer poole dorset</t>
  </si>
  <si>
    <t xml:space="preserve">manchester trainer</t>
  </si>
  <si>
    <t xml:space="preserve">fitness trainer slough</t>
  </si>
  <si>
    <t xml:space="preserve">corporate personal trainer</t>
  </si>
  <si>
    <t xml:space="preserve">personal trainer nutritionist near me</t>
  </si>
  <si>
    <t xml:space="preserve">weight loss personal trainer</t>
  </si>
  <si>
    <t xml:space="preserve">fat loss personal trainer</t>
  </si>
  <si>
    <t xml:space="preserve">lose weight trainer</t>
  </si>
  <si>
    <t xml:space="preserve">senior fitness personal trainer</t>
  </si>
  <si>
    <t xml:space="preserve">personal trainer for older people</t>
  </si>
  <si>
    <t xml:space="preserve">what are body conditioning classes</t>
  </si>
  <si>
    <t xml:space="preserve">aerobics trainer</t>
  </si>
  <si>
    <t xml:space="preserve">fitness class instructor</t>
  </si>
  <si>
    <t xml:space="preserve">remote fitness jobs</t>
  </si>
  <si>
    <t xml:space="preserve">trainer employment opportunities</t>
  </si>
  <si>
    <t xml:space="preserve">jobs in health &amp; fitness</t>
  </si>
  <si>
    <t xml:space="preserve">fitness manager jobs near me</t>
  </si>
  <si>
    <t xml:space="preserve">level 3 personal trainer course prices</t>
  </si>
  <si>
    <t xml:space="preserve">personal trainer course price</t>
  </si>
  <si>
    <t xml:space="preserve">how long does it take to become a personal trainer</t>
  </si>
  <si>
    <t xml:space="preserve">how much does a personal trainer earn in the uk</t>
  </si>
  <si>
    <t xml:space="preserve">pt courses liverpool</t>
  </si>
  <si>
    <t xml:space="preserve">pt courses manchester</t>
  </si>
  <si>
    <t xml:space="preserve">how much is a pt course</t>
  </si>
  <si>
    <t xml:space="preserve">fitness instructor course belfast</t>
  </si>
  <si>
    <t xml:space="preserve">personal trainer skills</t>
  </si>
  <si>
    <t xml:space="preserve">personal trainer essex</t>
  </si>
  <si>
    <t xml:space="preserve">personal trainer southend</t>
  </si>
  <si>
    <t xml:space="preserve">personal trainer stratford london</t>
  </si>
  <si>
    <t xml:space="preserve">cardiff personal trainer</t>
  </si>
  <si>
    <t xml:space="preserve">personal trainer prices london</t>
  </si>
  <si>
    <t xml:space="preserve">personal trainers in cardiff</t>
  </si>
  <si>
    <t xml:space="preserve">personal trainer canterbury uk</t>
  </si>
  <si>
    <t xml:space="preserve">personal trainer ilford</t>
  </si>
  <si>
    <t xml:space="preserve">personal trainer redhill</t>
  </si>
  <si>
    <t xml:space="preserve">personal trainer prices</t>
  </si>
  <si>
    <t xml:space="preserve">personalised fitness</t>
  </si>
  <si>
    <t xml:space="preserve">personal trainer near me female</t>
  </si>
  <si>
    <t xml:space="preserve">personal trainer to build muscle</t>
  </si>
  <si>
    <t xml:space="preserve">weight training for women near me</t>
  </si>
  <si>
    <t xml:space="preserve">fitness first angel</t>
  </si>
  <si>
    <t xml:space="preserve">gym instructor vacancies</t>
  </si>
  <si>
    <t xml:space="preserve">online personal training jobs</t>
  </si>
  <si>
    <t xml:space="preserve">fitness tutor jobs</t>
  </si>
  <si>
    <t xml:space="preserve">part time fitness jobs</t>
  </si>
  <si>
    <t xml:space="preserve">fitness marketing careers</t>
  </si>
  <si>
    <t xml:space="preserve">pt job</t>
  </si>
  <si>
    <t xml:space="preserve">personal trainer cardiff course</t>
  </si>
  <si>
    <t xml:space="preserve">level 1 personal trainer course</t>
  </si>
  <si>
    <t xml:space="preserve">become a personal trainer manchester</t>
  </si>
  <si>
    <t xml:space="preserve">average income for personal trainer</t>
  </si>
  <si>
    <t xml:space="preserve">fitness instructor course leeds</t>
  </si>
  <si>
    <t xml:space="preserve">fitness instructor course manchester</t>
  </si>
  <si>
    <t xml:space="preserve">fitness consultant</t>
  </si>
  <si>
    <t xml:space="preserve">THE BUILD LIST — buyer intent only, KD 30 or under, volume 200+</t>
  </si>
  <si>
    <t xml:space="preserve">Job-seeker, course-buyer and facility keywords are excluded. Those people will never buy coaching.</t>
  </si>
  <si>
    <t xml:space="preserve">Rank</t>
  </si>
  <si>
    <t xml:space="preserve">CPC</t>
  </si>
  <si>
    <t xml:space="preserve">Opportunity</t>
  </si>
  <si>
    <t xml:space="preserve">WHO IS ACTUALLY SEARCHING?</t>
  </si>
  <si>
    <t xml:space="preserve">Low difficulty is not the same as low value. Much of the easiest volume in the PT set is people who want a JOB or a QUALIFICATION, not a coach.</t>
  </si>
  <si>
    <t xml:space="preserve">Keywords</t>
  </si>
  <si>
    <t xml:space="preserve">Total Volume</t>
  </si>
  <si>
    <t xml:space="preserve">Avg KD</t>
  </si>
  <si>
    <t xml:space="preserve">Avg CPC</t>
  </si>
  <si>
    <t xml:space="preserve">Worth Targeting?</t>
  </si>
  <si>
    <t xml:space="preserve">YES - core business</t>
  </si>
  <si>
    <t xml:space="preserve">NO - wants employment</t>
  </si>
  <si>
    <t xml:space="preserve">MAYBE - affiliate only</t>
  </si>
  <si>
    <t xml:space="preserve">NO - wants a venue</t>
  </si>
  <si>
    <t xml:space="preserve">MAYBE - gym partnerships</t>
  </si>
  <si>
    <t xml:space="preserve">NO</t>
  </si>
  <si>
    <t xml:space="preserve">CLUSTER BREAKDOWN</t>
  </si>
  <si>
    <t xml:space="preserve">Total Opportunity</t>
  </si>
  <si>
    <t xml:space="preserve">PT LOCATION PAGES — the town-by-town build</t>
  </si>
  <si>
    <t xml:space="preserve">Every one of these is client intent, KD 15 or under. This is the location layer, evidenced.</t>
  </si>
  <si>
    <t xml:space="preserve">Suggested URL</t>
  </si>
  <si>
    <t xml:space="preserve">/online-personal-trainer/manchester</t>
  </si>
  <si>
    <t xml:space="preserve">/online-personal-trainer/bristol</t>
  </si>
  <si>
    <t xml:space="preserve">/online-personal-trainer/bournemouth</t>
  </si>
  <si>
    <t xml:space="preserve">/online-personal-trainer/northampton</t>
  </si>
  <si>
    <t xml:space="preserve">/online-personal-trainer/personal-nottingham</t>
  </si>
  <si>
    <t xml:space="preserve">/online-personal-trainer/brighton</t>
  </si>
  <si>
    <t xml:space="preserve">/online-personal-trainer/cambridge</t>
  </si>
  <si>
    <t xml:space="preserve">/online-personal-trainer/cardiff</t>
  </si>
  <si>
    <t xml:space="preserve">/online-personal-trainer/southampton</t>
  </si>
  <si>
    <t xml:space="preserve">/online-personal-trainer/coventry</t>
  </si>
  <si>
    <t xml:space="preserve">/online-personal-trainer/york</t>
  </si>
  <si>
    <t xml:space="preserve">/online-personal-trainer/birmingham</t>
  </si>
  <si>
    <t xml:space="preserve">/online-personal-trainer/norwich</t>
  </si>
  <si>
    <t xml:space="preserve">/online-personal-trainer/aberdeen</t>
  </si>
  <si>
    <t xml:space="preserve">/online-personal-trainer/watford</t>
  </si>
  <si>
    <t xml:space="preserve">/online-personal-trainer/reading</t>
  </si>
  <si>
    <t xml:space="preserve">/online-personal-trainer/female-london</t>
  </si>
  <si>
    <t xml:space="preserve">/online-personal-trainer/leicestershire</t>
  </si>
  <si>
    <t xml:space="preserve">/online-personal-trainer/canterbury</t>
  </si>
  <si>
    <t xml:space="preserve">/online-personal-trainer/kensington</t>
  </si>
  <si>
    <t xml:space="preserve">/online-personal-trainer/bedford</t>
  </si>
  <si>
    <t xml:space="preserve">/online-personal-trainer/croydon</t>
  </si>
  <si>
    <t xml:space="preserve">/online-personal-trainer/poole</t>
  </si>
  <si>
    <t xml:space="preserve">/online-personal-trainer/kent</t>
  </si>
  <si>
    <t xml:space="preserve">/online-personal-trainer/slough</t>
  </si>
  <si>
    <t xml:space="preserve">/online-personal-trainer/worcester</t>
  </si>
  <si>
    <t xml:space="preserve">/online-personal-trainer/personal-worcester</t>
  </si>
  <si>
    <t xml:space="preserve">/online-personal-trainer/oxford</t>
  </si>
  <si>
    <t xml:space="preserve">/online-personal-trainer/poole-dorset</t>
  </si>
  <si>
    <t xml:space="preserve">/online-personal-trainer/exeter</t>
  </si>
  <si>
    <t xml:space="preserve">/online-personal-trainer/chelmsford</t>
  </si>
  <si>
    <t xml:space="preserve">/online-personal-trainer/portsmouth</t>
  </si>
  <si>
    <t xml:space="preserve">/online-personal-trainer/bradford-west-yorkshire</t>
  </si>
  <si>
    <t xml:space="preserve">/online-personal-trainer/nottingham</t>
  </si>
  <si>
    <t xml:space="preserve">/online-personal-trainer/bath</t>
  </si>
  <si>
    <t xml:space="preserve">/online-personal-trainer/ilford</t>
  </si>
  <si>
    <t xml:space="preserve">/online-personal-trainer/redhill</t>
  </si>
  <si>
    <t xml:space="preserve">/online-personal-trainer/essex</t>
  </si>
  <si>
    <t xml:space="preserve">/online-personal-trainer/southend</t>
  </si>
  <si>
    <t xml:space="preserve">/online-personal-trainer/stratford-london</t>
  </si>
  <si>
    <t xml:space="preserve">/online-personal-trainer/prices-london</t>
  </si>
  <si>
    <t xml:space="preserve">SUV ATHLETIC — KEYWORD DATABASE v2</t>
  </si>
  <si>
    <t xml:space="preserve">SOURCE</t>
  </si>
  <si>
    <t xml:space="preserve">Batch 1 (Hyrox seed): 18 Semrush screenshots. Header totals 126,111 keywords / 624,610 volume / 34% avg KD.</t>
  </si>
  <si>
    <t xml:space="preserve">Batch 2 (Personal Training seed): 18 Semrush screenshots. Header totals 136,069 keywords / 2,223,300 volume / 42% avg KD.</t>
  </si>
  <si>
    <t xml:space="preserve">Combined addressable universe across both seeds: roughly 262,000 keywords and 2.85 million monthly searches.</t>
  </si>
  <si>
    <t xml:space="preserve">This workbook captures every keyword legible across those 36 screenshots.</t>
  </si>
  <si>
    <t xml:space="preserve">BUYER TYPE — THE MOST IMPORTANT COLUMN</t>
  </si>
  <si>
    <t xml:space="preserve">Client — wants to hire a coach or is researching the sport. These are customers. Target them.</t>
  </si>
  <si>
    <t xml:space="preserve">Job Seeker — wants a job in fitness (jobs, vacancies, careers, apprenticeships). Will never buy coaching.</t>
  </si>
  <si>
    <t xml:space="preserve">Course Buyer — wants to become a PT (courses, qualifications, salary questions). Not a customer, but CPC is very high</t>
  </si>
  <si>
    <t xml:space="preserve">   ($4-10) because course providers bid hard. Only worth targeting as an affiliate revenue line, never as core content.</t>
  </si>
  <si>
    <t xml:space="preserve">Facility — wants a physical gym or class near them. An online coaching brand cannot serve this intent.</t>
  </si>
  <si>
    <t xml:space="preserve">Partner — gym owners looking at affiliation. Feeds the Partner Programme, not the subscription.</t>
  </si>
  <si>
    <t xml:space="preserve">Rows shaded grey in the Keyword Database are NOT buyer intent. Priority column marks them 'Not a buyer'.</t>
  </si>
  <si>
    <t xml:space="preserve">KD % — KEYWORD DIFFICULTY</t>
  </si>
  <si>
    <t xml:space="preserve">Lower is easier. Semrush bands: 0-14 very easy / 15-29 easy / 30-49 possible / 50-69 hard / 70+ very hard.</t>
  </si>
  <si>
    <t xml:space="preserve">A new domain should stay at KD 30 and under for the first 6 months.</t>
  </si>
  <si>
    <t xml:space="preserve">OPPORTUNITY SCORE</t>
  </si>
  <si>
    <t xml:space="preserve">Volume x (100 - KD) / 100. A ranking aid for build order, not a traffic forecast.</t>
  </si>
  <si>
    <t xml:space="preserve">STILL MISSING FROM THIS DATA</t>
  </si>
  <si>
    <t xml:space="preserve">  - 'hyrox coach' and online-coaching terms (never pulled - run this seed next)</t>
  </si>
  <si>
    <t xml:space="preserve">  - competitor comparison terms (runna alternative, best hyrox app)</t>
  </si>
  <si>
    <t xml:space="preserve">  - hybrid training, beginner fitness, strength and running clusters</t>
  </si>
  <si>
    <t xml:space="preserve">  - non-UK volumes (US, DE, AU will differ substantially)</t>
  </si>
  <si>
    <t xml:space="preserve">  - the full location long tail - only ~65 UK towns appear here out of ~1,100 possible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</si>
</sst>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A3E635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F2F2F2"/>
        <bgColor rgb="FFE8F8D4"/>
      </patternFill>
    </fill>
    <fill>
      <patternFill patternType="solid">
        <fgColor rgb="FFE8F8D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A0A0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A3E635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8D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3E635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17"/>
    <col collapsed="false" customWidth="true" hidden="false" outlineLevel="0" max="12" min="12" style="0" width="13"/>
    <col collapsed="false" customWidth="true" hidden="false" outlineLevel="0" max="13" min="13" style="0" width="2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3" t="n">
        <v>110000</v>
      </c>
      <c r="G2" s="2" t="n">
        <v>65</v>
      </c>
      <c r="H2" s="4" t="n">
        <v>0.53</v>
      </c>
      <c r="I2" s="3" t="n">
        <f aca="false">IF(G2="","",ROUND(F2*(100-G2)/100,0))</f>
        <v>38500</v>
      </c>
      <c r="J2" s="2" t="str">
        <f aca="false">IF(G2="","Needs KD",IF(D2&lt;&gt;"Client","Not a buyer",IF(AND(G2&lt;=25,F2&gt;=500),"P1 Quick Win",IF(AND(G2&lt;=35,F2&gt;=200),"P2 High Value",IF(G2&lt;=50,"P3 Build","P4 Long Term")))))</f>
        <v>P4 Long Term</v>
      </c>
      <c r="K2" s="2" t="s">
        <v>17</v>
      </c>
      <c r="L2" s="2" t="s">
        <v>18</v>
      </c>
      <c r="M2" s="2"/>
    </row>
    <row r="3" customFormat="false" ht="15" hidden="false" customHeight="false" outlineLevel="0" collapsed="false">
      <c r="A3" s="2" t="n">
        <v>2</v>
      </c>
      <c r="B3" s="2" t="s">
        <v>19</v>
      </c>
      <c r="C3" s="2" t="s">
        <v>14</v>
      </c>
      <c r="D3" s="2" t="s">
        <v>15</v>
      </c>
      <c r="E3" s="2" t="s">
        <v>20</v>
      </c>
      <c r="F3" s="3" t="n">
        <v>22200</v>
      </c>
      <c r="G3" s="2" t="n">
        <v>46</v>
      </c>
      <c r="H3" s="4" t="n">
        <v>0.32</v>
      </c>
      <c r="I3" s="3" t="n">
        <f aca="false">IF(G3="","",ROUND(F3*(100-G3)/100,0))</f>
        <v>11988</v>
      </c>
      <c r="J3" s="2" t="str">
        <f aca="false">IF(G3="","Needs KD",IF(D3&lt;&gt;"Client","Not a buyer",IF(AND(G3&lt;=25,F3&gt;=500),"P1 Quick Win",IF(AND(G3&lt;=35,F3&gt;=200),"P2 High Value",IF(G3&lt;=50,"P3 Build","P4 Long Term")))))</f>
        <v>P3 Build</v>
      </c>
      <c r="K3" s="2" t="s">
        <v>21</v>
      </c>
      <c r="L3" s="2" t="s">
        <v>18</v>
      </c>
      <c r="M3" s="2"/>
    </row>
    <row r="4" customFormat="false" ht="15" hidden="false" customHeight="false" outlineLevel="0" collapsed="false">
      <c r="A4" s="2" t="n">
        <v>3</v>
      </c>
      <c r="B4" s="2" t="s">
        <v>22</v>
      </c>
      <c r="C4" s="2" t="s">
        <v>14</v>
      </c>
      <c r="D4" s="2" t="s">
        <v>15</v>
      </c>
      <c r="E4" s="2" t="s">
        <v>20</v>
      </c>
      <c r="F4" s="3" t="n">
        <v>18100</v>
      </c>
      <c r="G4" s="2" t="n">
        <v>26</v>
      </c>
      <c r="H4" s="4" t="n">
        <v>0.99</v>
      </c>
      <c r="I4" s="3" t="n">
        <f aca="false">IF(G4="","",ROUND(F4*(100-G4)/100,0))</f>
        <v>13394</v>
      </c>
      <c r="J4" s="2" t="str">
        <f aca="false">IF(G4="","Needs KD",IF(D4&lt;&gt;"Client","Not a buyer",IF(AND(G4&lt;=25,F4&gt;=500),"P1 Quick Win",IF(AND(G4&lt;=35,F4&gt;=200),"P2 High Value",IF(G4&lt;=50,"P3 Build","P4 Long Term")))))</f>
        <v>P2 High Value</v>
      </c>
      <c r="K4" s="2" t="s">
        <v>23</v>
      </c>
      <c r="L4" s="2" t="s">
        <v>18</v>
      </c>
      <c r="M4" s="2"/>
    </row>
    <row r="5" customFormat="false" ht="15" hidden="false" customHeight="false" outlineLevel="0" collapsed="false">
      <c r="A5" s="2" t="n">
        <v>4</v>
      </c>
      <c r="B5" s="2" t="s">
        <v>24</v>
      </c>
      <c r="C5" s="2" t="s">
        <v>14</v>
      </c>
      <c r="D5" s="2" t="s">
        <v>15</v>
      </c>
      <c r="E5" s="2" t="s">
        <v>20</v>
      </c>
      <c r="F5" s="3" t="n">
        <v>14800</v>
      </c>
      <c r="G5" s="2" t="n">
        <v>19</v>
      </c>
      <c r="H5" s="4" t="n">
        <v>2.63</v>
      </c>
      <c r="I5" s="3" t="n">
        <f aca="false">IF(G5="","",ROUND(F5*(100-G5)/100,0))</f>
        <v>11988</v>
      </c>
      <c r="J5" s="2" t="str">
        <f aca="false">IF(G5="","Needs KD",IF(D5&lt;&gt;"Client","Not a buyer",IF(AND(G5&lt;=25,F5&gt;=500),"P1 Quick Win",IF(AND(G5&lt;=35,F5&gt;=200),"P2 High Value",IF(G5&lt;=50,"P3 Build","P4 Long Term")))))</f>
        <v>P1 Quick Win</v>
      </c>
      <c r="K5" s="2" t="s">
        <v>25</v>
      </c>
      <c r="L5" s="2" t="s">
        <v>18</v>
      </c>
      <c r="M5" s="2"/>
    </row>
    <row r="6" customFormat="false" ht="15" hidden="false" customHeight="false" outlineLevel="0" collapsed="false">
      <c r="A6" s="2" t="n">
        <v>5</v>
      </c>
      <c r="B6" s="2" t="s">
        <v>26</v>
      </c>
      <c r="C6" s="2" t="s">
        <v>14</v>
      </c>
      <c r="D6" s="2" t="s">
        <v>15</v>
      </c>
      <c r="E6" s="2" t="s">
        <v>20</v>
      </c>
      <c r="F6" s="3" t="n">
        <v>6600</v>
      </c>
      <c r="G6" s="2" t="n">
        <v>17</v>
      </c>
      <c r="H6" s="4" t="n">
        <v>1.62</v>
      </c>
      <c r="I6" s="3" t="n">
        <f aca="false">IF(G6="","",ROUND(F6*(100-G6)/100,0))</f>
        <v>5478</v>
      </c>
      <c r="J6" s="2" t="str">
        <f aca="false">IF(G6="","Needs KD",IF(D6&lt;&gt;"Client","Not a buyer",IF(AND(G6&lt;=25,F6&gt;=500),"P1 Quick Win",IF(AND(G6&lt;=35,F6&gt;=200),"P2 High Value",IF(G6&lt;=50,"P3 Build","P4 Long Term")))))</f>
        <v>P1 Quick Win</v>
      </c>
      <c r="K6" s="2" t="s">
        <v>23</v>
      </c>
      <c r="L6" s="2" t="s">
        <v>18</v>
      </c>
      <c r="M6" s="2"/>
    </row>
    <row r="7" customFormat="false" ht="15" hidden="false" customHeight="false" outlineLevel="0" collapsed="false">
      <c r="A7" s="2" t="n">
        <v>6</v>
      </c>
      <c r="B7" s="2" t="s">
        <v>27</v>
      </c>
      <c r="C7" s="2" t="s">
        <v>14</v>
      </c>
      <c r="D7" s="2" t="s">
        <v>15</v>
      </c>
      <c r="E7" s="2" t="s">
        <v>20</v>
      </c>
      <c r="F7" s="3" t="n">
        <v>6600</v>
      </c>
      <c r="G7" s="2" t="n">
        <v>30</v>
      </c>
      <c r="H7" s="4" t="n">
        <v>0</v>
      </c>
      <c r="I7" s="3" t="n">
        <f aca="false">IF(G7="","",ROUND(F7*(100-G7)/100,0))</f>
        <v>4620</v>
      </c>
      <c r="J7" s="2" t="str">
        <f aca="false">IF(G7="","Needs KD",IF(D7&lt;&gt;"Client","Not a buyer",IF(AND(G7&lt;=25,F7&gt;=500),"P1 Quick Win",IF(AND(G7&lt;=35,F7&gt;=200),"P2 High Value",IF(G7&lt;=50,"P3 Build","P4 Long Term")))))</f>
        <v>P2 High Value</v>
      </c>
      <c r="K7" s="2" t="s">
        <v>23</v>
      </c>
      <c r="L7" s="2" t="s">
        <v>18</v>
      </c>
      <c r="M7" s="2"/>
    </row>
    <row r="8" customFormat="false" ht="15" hidden="false" customHeight="false" outlineLevel="0" collapsed="false">
      <c r="A8" s="2" t="n">
        <v>7</v>
      </c>
      <c r="B8" s="2" t="s">
        <v>28</v>
      </c>
      <c r="C8" s="2" t="s">
        <v>14</v>
      </c>
      <c r="D8" s="2" t="s">
        <v>15</v>
      </c>
      <c r="E8" s="2" t="s">
        <v>20</v>
      </c>
      <c r="F8" s="3" t="n">
        <v>6600</v>
      </c>
      <c r="G8" s="2" t="n">
        <v>41</v>
      </c>
      <c r="H8" s="4" t="n">
        <v>1.54</v>
      </c>
      <c r="I8" s="3" t="n">
        <f aca="false">IF(G8="","",ROUND(F8*(100-G8)/100,0))</f>
        <v>3894</v>
      </c>
      <c r="J8" s="2" t="str">
        <f aca="false">IF(G8="","Needs KD",IF(D8&lt;&gt;"Client","Not a buyer",IF(AND(G8&lt;=25,F8&gt;=500),"P1 Quick Win",IF(AND(G8&lt;=35,F8&gt;=200),"P2 High Value",IF(G8&lt;=50,"P3 Build","P4 Long Term")))))</f>
        <v>P3 Build</v>
      </c>
      <c r="K8" s="2" t="s">
        <v>23</v>
      </c>
      <c r="L8" s="2" t="s">
        <v>18</v>
      </c>
      <c r="M8" s="2"/>
    </row>
    <row r="9" customFormat="false" ht="15" hidden="false" customHeight="false" outlineLevel="0" collapsed="false">
      <c r="A9" s="2" t="n">
        <v>8</v>
      </c>
      <c r="B9" s="2" t="s">
        <v>29</v>
      </c>
      <c r="C9" s="2" t="s">
        <v>14</v>
      </c>
      <c r="D9" s="2" t="s">
        <v>15</v>
      </c>
      <c r="E9" s="2" t="s">
        <v>20</v>
      </c>
      <c r="F9" s="3" t="n">
        <v>5400</v>
      </c>
      <c r="G9" s="2" t="n">
        <v>16</v>
      </c>
      <c r="H9" s="4" t="n">
        <v>2</v>
      </c>
      <c r="I9" s="3" t="n">
        <f aca="false">IF(G9="","",ROUND(F9*(100-G9)/100,0))</f>
        <v>4536</v>
      </c>
      <c r="J9" s="2" t="str">
        <f aca="false">IF(G9="","Needs KD",IF(D9&lt;&gt;"Client","Not a buyer",IF(AND(G9&lt;=25,F9&gt;=500),"P1 Quick Win",IF(AND(G9&lt;=35,F9&gt;=200),"P2 High Value",IF(G9&lt;=50,"P3 Build","P4 Long Term")))))</f>
        <v>P1 Quick Win</v>
      </c>
      <c r="K9" s="2" t="s">
        <v>23</v>
      </c>
      <c r="L9" s="2" t="s">
        <v>18</v>
      </c>
      <c r="M9" s="2"/>
    </row>
    <row r="10" customFormat="false" ht="15" hidden="false" customHeight="false" outlineLevel="0" collapsed="false">
      <c r="A10" s="2" t="n">
        <v>9</v>
      </c>
      <c r="B10" s="2" t="s">
        <v>30</v>
      </c>
      <c r="C10" s="2" t="s">
        <v>14</v>
      </c>
      <c r="D10" s="2" t="s">
        <v>15</v>
      </c>
      <c r="E10" s="2" t="s">
        <v>20</v>
      </c>
      <c r="F10" s="3" t="n">
        <v>5400</v>
      </c>
      <c r="G10" s="2" t="n">
        <v>26</v>
      </c>
      <c r="H10" s="4" t="n">
        <v>0</v>
      </c>
      <c r="I10" s="3" t="n">
        <f aca="false">IF(G10="","",ROUND(F10*(100-G10)/100,0))</f>
        <v>3996</v>
      </c>
      <c r="J10" s="2" t="str">
        <f aca="false">IF(G10="","Needs KD",IF(D10&lt;&gt;"Client","Not a buyer",IF(AND(G10&lt;=25,F10&gt;=500),"P1 Quick Win",IF(AND(G10&lt;=35,F10&gt;=200),"P2 High Value",IF(G10&lt;=50,"P3 Build","P4 Long Term")))))</f>
        <v>P2 High Value</v>
      </c>
      <c r="K10" s="2" t="s">
        <v>23</v>
      </c>
      <c r="L10" s="2" t="s">
        <v>18</v>
      </c>
      <c r="M10" s="2"/>
    </row>
    <row r="11" customFormat="false" ht="15" hidden="false" customHeight="false" outlineLevel="0" collapsed="false">
      <c r="A11" s="2" t="n">
        <v>10</v>
      </c>
      <c r="B11" s="2" t="s">
        <v>31</v>
      </c>
      <c r="C11" s="2" t="s">
        <v>14</v>
      </c>
      <c r="D11" s="2" t="s">
        <v>15</v>
      </c>
      <c r="E11" s="2" t="s">
        <v>20</v>
      </c>
      <c r="F11" s="3" t="n">
        <v>5400</v>
      </c>
      <c r="G11" s="2" t="n">
        <v>28</v>
      </c>
      <c r="H11" s="4" t="n">
        <v>0.92</v>
      </c>
      <c r="I11" s="3" t="n">
        <f aca="false">IF(G11="","",ROUND(F11*(100-G11)/100,0))</f>
        <v>3888</v>
      </c>
      <c r="J11" s="2" t="str">
        <f aca="false">IF(G11="","Needs KD",IF(D11&lt;&gt;"Client","Not a buyer",IF(AND(G11&lt;=25,F11&gt;=500),"P1 Quick Win",IF(AND(G11&lt;=35,F11&gt;=200),"P2 High Value",IF(G11&lt;=50,"P3 Build","P4 Long Term")))))</f>
        <v>P2 High Value</v>
      </c>
      <c r="K11" s="2" t="s">
        <v>17</v>
      </c>
      <c r="L11" s="2" t="s">
        <v>18</v>
      </c>
      <c r="M11" s="2"/>
    </row>
    <row r="12" customFormat="false" ht="15" hidden="false" customHeight="false" outlineLevel="0" collapsed="false">
      <c r="A12" s="2" t="n">
        <v>11</v>
      </c>
      <c r="B12" s="2" t="s">
        <v>32</v>
      </c>
      <c r="C12" s="2" t="s">
        <v>14</v>
      </c>
      <c r="D12" s="2" t="s">
        <v>15</v>
      </c>
      <c r="E12" s="2" t="s">
        <v>20</v>
      </c>
      <c r="F12" s="3" t="n">
        <v>4400</v>
      </c>
      <c r="G12" s="2" t="n">
        <v>22</v>
      </c>
      <c r="H12" s="4" t="n">
        <v>1.17</v>
      </c>
      <c r="I12" s="3" t="n">
        <f aca="false">IF(G12="","",ROUND(F12*(100-G12)/100,0))</f>
        <v>3432</v>
      </c>
      <c r="J12" s="2" t="str">
        <f aca="false">IF(G12="","Needs KD",IF(D12&lt;&gt;"Client","Not a buyer",IF(AND(G12&lt;=25,F12&gt;=500),"P1 Quick Win",IF(AND(G12&lt;=35,F12&gt;=200),"P2 High Value",IF(G12&lt;=50,"P3 Build","P4 Long Term")))))</f>
        <v>P1 Quick Win</v>
      </c>
      <c r="K12" s="2" t="s">
        <v>23</v>
      </c>
      <c r="L12" s="2" t="s">
        <v>18</v>
      </c>
      <c r="M12" s="2"/>
    </row>
    <row r="13" customFormat="false" ht="15" hidden="false" customHeight="false" outlineLevel="0" collapsed="false">
      <c r="A13" s="2" t="n">
        <v>12</v>
      </c>
      <c r="B13" s="2" t="s">
        <v>33</v>
      </c>
      <c r="C13" s="2" t="s">
        <v>14</v>
      </c>
      <c r="D13" s="2" t="s">
        <v>15</v>
      </c>
      <c r="E13" s="2" t="s">
        <v>34</v>
      </c>
      <c r="F13" s="3" t="n">
        <v>4400</v>
      </c>
      <c r="G13" s="2" t="n">
        <v>23</v>
      </c>
      <c r="H13" s="4" t="n">
        <v>0.41</v>
      </c>
      <c r="I13" s="3" t="n">
        <f aca="false">IF(G13="","",ROUND(F13*(100-G13)/100,0))</f>
        <v>3388</v>
      </c>
      <c r="J13" s="2" t="str">
        <f aca="false">IF(G13="","Needs KD",IF(D13&lt;&gt;"Client","Not a buyer",IF(AND(G13&lt;=25,F13&gt;=500),"P1 Quick Win",IF(AND(G13&lt;=35,F13&gt;=200),"P2 High Value",IF(G13&lt;=50,"P3 Build","P4 Long Term")))))</f>
        <v>P1 Quick Win</v>
      </c>
      <c r="K13" s="2" t="s">
        <v>23</v>
      </c>
      <c r="L13" s="2" t="s">
        <v>18</v>
      </c>
      <c r="M13" s="2"/>
    </row>
    <row r="14" customFormat="false" ht="15" hidden="false" customHeight="false" outlineLevel="0" collapsed="false">
      <c r="A14" s="2" t="n">
        <v>13</v>
      </c>
      <c r="B14" s="2" t="s">
        <v>35</v>
      </c>
      <c r="C14" s="2" t="s">
        <v>14</v>
      </c>
      <c r="D14" s="2" t="s">
        <v>15</v>
      </c>
      <c r="E14" s="2" t="s">
        <v>20</v>
      </c>
      <c r="F14" s="3" t="n">
        <v>4400</v>
      </c>
      <c r="G14" s="2" t="n">
        <v>23</v>
      </c>
      <c r="H14" s="4" t="n">
        <v>0</v>
      </c>
      <c r="I14" s="3" t="n">
        <f aca="false">IF(G14="","",ROUND(F14*(100-G14)/100,0))</f>
        <v>3388</v>
      </c>
      <c r="J14" s="2" t="str">
        <f aca="false">IF(G14="","Needs KD",IF(D14&lt;&gt;"Client","Not a buyer",IF(AND(G14&lt;=25,F14&gt;=500),"P1 Quick Win",IF(AND(G14&lt;=35,F14&gt;=200),"P2 High Value",IF(G14&lt;=50,"P3 Build","P4 Long Term")))))</f>
        <v>P1 Quick Win</v>
      </c>
      <c r="K14" s="2" t="s">
        <v>23</v>
      </c>
      <c r="L14" s="2" t="s">
        <v>18</v>
      </c>
      <c r="M14" s="2"/>
    </row>
    <row r="15" customFormat="false" ht="15" hidden="false" customHeight="false" outlineLevel="0" collapsed="false">
      <c r="A15" s="2" t="n">
        <v>14</v>
      </c>
      <c r="B15" s="2" t="s">
        <v>36</v>
      </c>
      <c r="C15" s="2" t="s">
        <v>14</v>
      </c>
      <c r="D15" s="2" t="s">
        <v>15</v>
      </c>
      <c r="E15" s="2" t="s">
        <v>20</v>
      </c>
      <c r="F15" s="3" t="n">
        <v>3600</v>
      </c>
      <c r="G15" s="2" t="n">
        <v>56</v>
      </c>
      <c r="H15" s="4" t="n">
        <v>0.63</v>
      </c>
      <c r="I15" s="3" t="n">
        <f aca="false">IF(G15="","",ROUND(F15*(100-G15)/100,0))</f>
        <v>1584</v>
      </c>
      <c r="J15" s="2" t="str">
        <f aca="false">IF(G15="","Needs KD",IF(D15&lt;&gt;"Client","Not a buyer",IF(AND(G15&lt;=25,F15&gt;=500),"P1 Quick Win",IF(AND(G15&lt;=35,F15&gt;=200),"P2 High Value",IF(G15&lt;=50,"P3 Build","P4 Long Term")))))</f>
        <v>P4 Long Term</v>
      </c>
      <c r="K15" s="2" t="s">
        <v>37</v>
      </c>
      <c r="L15" s="2" t="s">
        <v>18</v>
      </c>
      <c r="M15" s="2"/>
    </row>
    <row r="16" customFormat="false" ht="15" hidden="false" customHeight="false" outlineLevel="0" collapsed="false">
      <c r="A16" s="2" t="n">
        <v>15</v>
      </c>
      <c r="B16" s="2" t="s">
        <v>38</v>
      </c>
      <c r="C16" s="2" t="s">
        <v>14</v>
      </c>
      <c r="D16" s="2" t="s">
        <v>15</v>
      </c>
      <c r="E16" s="2" t="s">
        <v>39</v>
      </c>
      <c r="F16" s="3" t="n">
        <v>2900</v>
      </c>
      <c r="G16" s="2" t="n">
        <v>52</v>
      </c>
      <c r="H16" s="4" t="n">
        <v>0.49</v>
      </c>
      <c r="I16" s="3" t="n">
        <f aca="false">IF(G16="","",ROUND(F16*(100-G16)/100,0))</f>
        <v>1392</v>
      </c>
      <c r="J16" s="2" t="str">
        <f aca="false">IF(G16="","Needs KD",IF(D16&lt;&gt;"Client","Not a buyer",IF(AND(G16&lt;=25,F16&gt;=500),"P1 Quick Win",IF(AND(G16&lt;=35,F16&gt;=200),"P2 High Value",IF(G16&lt;=50,"P3 Build","P4 Long Term")))))</f>
        <v>P4 Long Term</v>
      </c>
      <c r="K16" s="2" t="s">
        <v>37</v>
      </c>
      <c r="L16" s="2" t="s">
        <v>18</v>
      </c>
      <c r="M16" s="2"/>
    </row>
    <row r="17" customFormat="false" ht="15" hidden="false" customHeight="false" outlineLevel="0" collapsed="false">
      <c r="A17" s="2" t="n">
        <v>16</v>
      </c>
      <c r="B17" s="2" t="s">
        <v>40</v>
      </c>
      <c r="C17" s="2" t="s">
        <v>14</v>
      </c>
      <c r="D17" s="2" t="s">
        <v>15</v>
      </c>
      <c r="E17" s="2" t="s">
        <v>20</v>
      </c>
      <c r="F17" s="3" t="n">
        <v>2900</v>
      </c>
      <c r="G17" s="2" t="n">
        <v>29</v>
      </c>
      <c r="H17" s="4" t="n">
        <v>0.21</v>
      </c>
      <c r="I17" s="3" t="n">
        <f aca="false">IF(G17="","",ROUND(F17*(100-G17)/100,0))</f>
        <v>2059</v>
      </c>
      <c r="J17" s="2" t="str">
        <f aca="false">IF(G17="","Needs KD",IF(D17&lt;&gt;"Client","Not a buyer",IF(AND(G17&lt;=25,F17&gt;=500),"P1 Quick Win",IF(AND(G17&lt;=35,F17&gt;=200),"P2 High Value",IF(G17&lt;=50,"P3 Build","P4 Long Term")))))</f>
        <v>P2 High Value</v>
      </c>
      <c r="K17" s="2" t="s">
        <v>41</v>
      </c>
      <c r="L17" s="2" t="s">
        <v>18</v>
      </c>
      <c r="M17" s="2"/>
    </row>
    <row r="18" customFormat="false" ht="15" hidden="false" customHeight="false" outlineLevel="0" collapsed="false">
      <c r="A18" s="2" t="n">
        <v>17</v>
      </c>
      <c r="B18" s="2" t="s">
        <v>42</v>
      </c>
      <c r="C18" s="2" t="s">
        <v>14</v>
      </c>
      <c r="D18" s="2" t="s">
        <v>15</v>
      </c>
      <c r="E18" s="2" t="s">
        <v>20</v>
      </c>
      <c r="F18" s="3" t="n">
        <v>2900</v>
      </c>
      <c r="G18" s="2" t="n">
        <v>41</v>
      </c>
      <c r="H18" s="4" t="n">
        <v>0.36</v>
      </c>
      <c r="I18" s="3" t="n">
        <f aca="false">IF(G18="","",ROUND(F18*(100-G18)/100,0))</f>
        <v>1711</v>
      </c>
      <c r="J18" s="2" t="str">
        <f aca="false">IF(G18="","Needs KD",IF(D18&lt;&gt;"Client","Not a buyer",IF(AND(G18&lt;=25,F18&gt;=500),"P1 Quick Win",IF(AND(G18&lt;=35,F18&gt;=200),"P2 High Value",IF(G18&lt;=50,"P3 Build","P4 Long Term")))))</f>
        <v>P3 Build</v>
      </c>
      <c r="K18" s="2" t="s">
        <v>17</v>
      </c>
      <c r="L18" s="2" t="s">
        <v>18</v>
      </c>
      <c r="M18" s="2"/>
    </row>
    <row r="19" customFormat="false" ht="15" hidden="false" customHeight="false" outlineLevel="0" collapsed="false">
      <c r="A19" s="2" t="n">
        <v>18</v>
      </c>
      <c r="B19" s="2" t="s">
        <v>43</v>
      </c>
      <c r="C19" s="2" t="s">
        <v>14</v>
      </c>
      <c r="D19" s="2" t="s">
        <v>15</v>
      </c>
      <c r="E19" s="2" t="s">
        <v>44</v>
      </c>
      <c r="F19" s="3" t="n">
        <v>2900</v>
      </c>
      <c r="G19" s="2" t="n">
        <v>22</v>
      </c>
      <c r="H19" s="4" t="n">
        <v>0.68</v>
      </c>
      <c r="I19" s="3" t="n">
        <f aca="false">IF(G19="","",ROUND(F19*(100-G19)/100,0))</f>
        <v>2262</v>
      </c>
      <c r="J19" s="2" t="str">
        <f aca="false">IF(G19="","Needs KD",IF(D19&lt;&gt;"Client","Not a buyer",IF(AND(G19&lt;=25,F19&gt;=500),"P1 Quick Win",IF(AND(G19&lt;=35,F19&gt;=200),"P2 High Value",IF(G19&lt;=50,"P3 Build","P4 Long Term")))))</f>
        <v>P1 Quick Win</v>
      </c>
      <c r="K19" s="2" t="s">
        <v>45</v>
      </c>
      <c r="L19" s="2" t="s">
        <v>18</v>
      </c>
      <c r="M19" s="2"/>
    </row>
    <row r="20" customFormat="false" ht="15" hidden="false" customHeight="false" outlineLevel="0" collapsed="false">
      <c r="A20" s="2" t="n">
        <v>19</v>
      </c>
      <c r="B20" s="2" t="s">
        <v>46</v>
      </c>
      <c r="C20" s="2" t="s">
        <v>14</v>
      </c>
      <c r="D20" s="2" t="s">
        <v>15</v>
      </c>
      <c r="E20" s="2" t="s">
        <v>20</v>
      </c>
      <c r="F20" s="3" t="n">
        <v>2400</v>
      </c>
      <c r="G20" s="2" t="n">
        <v>27</v>
      </c>
      <c r="H20" s="4" t="n">
        <v>0.2</v>
      </c>
      <c r="I20" s="3" t="n">
        <f aca="false">IF(G20="","",ROUND(F20*(100-G20)/100,0))</f>
        <v>1752</v>
      </c>
      <c r="J20" s="2" t="str">
        <f aca="false">IF(G20="","Needs KD",IF(D20&lt;&gt;"Client","Not a buyer",IF(AND(G20&lt;=25,F20&gt;=500),"P1 Quick Win",IF(AND(G20&lt;=35,F20&gt;=200),"P2 High Value",IF(G20&lt;=50,"P3 Build","P4 Long Term")))))</f>
        <v>P2 High Value</v>
      </c>
      <c r="K20" s="2" t="s">
        <v>21</v>
      </c>
      <c r="L20" s="2" t="s">
        <v>18</v>
      </c>
      <c r="M20" s="2"/>
    </row>
    <row r="21" customFormat="false" ht="15" hidden="false" customHeight="false" outlineLevel="0" collapsed="false">
      <c r="A21" s="2" t="n">
        <v>20</v>
      </c>
      <c r="B21" s="2" t="s">
        <v>47</v>
      </c>
      <c r="C21" s="2" t="s">
        <v>14</v>
      </c>
      <c r="D21" s="2" t="s">
        <v>15</v>
      </c>
      <c r="E21" s="2" t="s">
        <v>20</v>
      </c>
      <c r="F21" s="3" t="n">
        <v>1900</v>
      </c>
      <c r="G21" s="2" t="n">
        <v>21</v>
      </c>
      <c r="H21" s="4" t="n">
        <v>1.17</v>
      </c>
      <c r="I21" s="3" t="n">
        <f aca="false">IF(G21="","",ROUND(F21*(100-G21)/100,0))</f>
        <v>1501</v>
      </c>
      <c r="J21" s="2" t="str">
        <f aca="false">IF(G21="","Needs KD",IF(D21&lt;&gt;"Client","Not a buyer",IF(AND(G21&lt;=25,F21&gt;=500),"P1 Quick Win",IF(AND(G21&lt;=35,F21&gt;=200),"P2 High Value",IF(G21&lt;=50,"P3 Build","P4 Long Term")))))</f>
        <v>P1 Quick Win</v>
      </c>
      <c r="K21" s="2" t="s">
        <v>23</v>
      </c>
      <c r="L21" s="2" t="s">
        <v>18</v>
      </c>
      <c r="M21" s="2"/>
    </row>
    <row r="22" customFormat="false" ht="15" hidden="false" customHeight="false" outlineLevel="0" collapsed="false">
      <c r="A22" s="2" t="n">
        <v>21</v>
      </c>
      <c r="B22" s="2" t="s">
        <v>48</v>
      </c>
      <c r="C22" s="2" t="s">
        <v>14</v>
      </c>
      <c r="D22" s="2" t="s">
        <v>15</v>
      </c>
      <c r="E22" s="2" t="s">
        <v>20</v>
      </c>
      <c r="F22" s="3" t="n">
        <v>1900</v>
      </c>
      <c r="G22" s="2" t="n">
        <v>53</v>
      </c>
      <c r="H22" s="4" t="n">
        <v>0.08</v>
      </c>
      <c r="I22" s="3" t="n">
        <f aca="false">IF(G22="","",ROUND(F22*(100-G22)/100,0))</f>
        <v>893</v>
      </c>
      <c r="J22" s="2" t="str">
        <f aca="false">IF(G22="","Needs KD",IF(D22&lt;&gt;"Client","Not a buyer",IF(AND(G22&lt;=25,F22&gt;=500),"P1 Quick Win",IF(AND(G22&lt;=35,F22&gt;=200),"P2 High Value",IF(G22&lt;=50,"P3 Build","P4 Long Term")))))</f>
        <v>P4 Long Term</v>
      </c>
      <c r="K22" s="2" t="s">
        <v>37</v>
      </c>
      <c r="L22" s="2" t="s">
        <v>18</v>
      </c>
      <c r="M22" s="2"/>
    </row>
    <row r="23" customFormat="false" ht="15" hidden="false" customHeight="false" outlineLevel="0" collapsed="false">
      <c r="A23" s="2" t="n">
        <v>22</v>
      </c>
      <c r="B23" s="2" t="s">
        <v>49</v>
      </c>
      <c r="C23" s="2" t="s">
        <v>14</v>
      </c>
      <c r="D23" s="2" t="s">
        <v>15</v>
      </c>
      <c r="E23" s="2" t="s">
        <v>20</v>
      </c>
      <c r="F23" s="3" t="n">
        <v>1900</v>
      </c>
      <c r="G23" s="2" t="n">
        <v>18</v>
      </c>
      <c r="H23" s="4" t="n">
        <v>0.55</v>
      </c>
      <c r="I23" s="3" t="n">
        <f aca="false">IF(G23="","",ROUND(F23*(100-G23)/100,0))</f>
        <v>1558</v>
      </c>
      <c r="J23" s="2" t="str">
        <f aca="false">IF(G23="","Needs KD",IF(D23&lt;&gt;"Client","Not a buyer",IF(AND(G23&lt;=25,F23&gt;=500),"P1 Quick Win",IF(AND(G23&lt;=35,F23&gt;=200),"P2 High Value",IF(G23&lt;=50,"P3 Build","P4 Long Term")))))</f>
        <v>P1 Quick Win</v>
      </c>
      <c r="K23" s="2" t="s">
        <v>41</v>
      </c>
      <c r="L23" s="2" t="s">
        <v>18</v>
      </c>
      <c r="M23" s="2"/>
    </row>
    <row r="24" customFormat="false" ht="15" hidden="false" customHeight="false" outlineLevel="0" collapsed="false">
      <c r="A24" s="2" t="n">
        <v>23</v>
      </c>
      <c r="B24" s="2" t="s">
        <v>50</v>
      </c>
      <c r="C24" s="2" t="s">
        <v>14</v>
      </c>
      <c r="D24" s="2" t="s">
        <v>15</v>
      </c>
      <c r="E24" s="2" t="s">
        <v>20</v>
      </c>
      <c r="F24" s="3" t="n">
        <v>1900</v>
      </c>
      <c r="G24" s="2" t="n">
        <v>25</v>
      </c>
      <c r="H24" s="4" t="n">
        <v>0.35</v>
      </c>
      <c r="I24" s="3" t="n">
        <f aca="false">IF(G24="","",ROUND(F24*(100-G24)/100,0))</f>
        <v>1425</v>
      </c>
      <c r="J24" s="2" t="str">
        <f aca="false">IF(G24="","Needs KD",IF(D24&lt;&gt;"Client","Not a buyer",IF(AND(G24&lt;=25,F24&gt;=500),"P1 Quick Win",IF(AND(G24&lt;=35,F24&gt;=200),"P2 High Value",IF(G24&lt;=50,"P3 Build","P4 Long Term")))))</f>
        <v>P1 Quick Win</v>
      </c>
      <c r="K24" s="2" t="s">
        <v>41</v>
      </c>
      <c r="L24" s="2" t="s">
        <v>18</v>
      </c>
      <c r="M24" s="2"/>
    </row>
    <row r="25" customFormat="false" ht="15" hidden="false" customHeight="false" outlineLevel="0" collapsed="false">
      <c r="A25" s="2" t="n">
        <v>24</v>
      </c>
      <c r="B25" s="2" t="s">
        <v>51</v>
      </c>
      <c r="C25" s="2" t="s">
        <v>14</v>
      </c>
      <c r="D25" s="2" t="s">
        <v>15</v>
      </c>
      <c r="E25" s="2" t="s">
        <v>20</v>
      </c>
      <c r="F25" s="3" t="n">
        <v>1600</v>
      </c>
      <c r="G25" s="2" t="n">
        <v>16</v>
      </c>
      <c r="H25" s="4" t="n">
        <v>2.26</v>
      </c>
      <c r="I25" s="3" t="n">
        <f aca="false">IF(G25="","",ROUND(F25*(100-G25)/100,0))</f>
        <v>1344</v>
      </c>
      <c r="J25" s="2" t="str">
        <f aca="false">IF(G25="","Needs KD",IF(D25&lt;&gt;"Client","Not a buyer",IF(AND(G25&lt;=25,F25&gt;=500),"P1 Quick Win",IF(AND(G25&lt;=35,F25&gt;=200),"P2 High Value",IF(G25&lt;=50,"P3 Build","P4 Long Term")))))</f>
        <v>P1 Quick Win</v>
      </c>
      <c r="K25" s="2" t="s">
        <v>23</v>
      </c>
      <c r="L25" s="2" t="s">
        <v>18</v>
      </c>
      <c r="M25" s="2"/>
    </row>
    <row r="26" customFormat="false" ht="15" hidden="false" customHeight="false" outlineLevel="0" collapsed="false">
      <c r="A26" s="2" t="n">
        <v>25</v>
      </c>
      <c r="B26" s="2" t="s">
        <v>52</v>
      </c>
      <c r="C26" s="2" t="s">
        <v>14</v>
      </c>
      <c r="D26" s="2" t="s">
        <v>15</v>
      </c>
      <c r="E26" s="2" t="s">
        <v>53</v>
      </c>
      <c r="F26" s="3" t="n">
        <v>1600</v>
      </c>
      <c r="G26" s="2" t="n">
        <v>53</v>
      </c>
      <c r="H26" s="4" t="n">
        <v>0.95</v>
      </c>
      <c r="I26" s="3" t="n">
        <f aca="false">IF(G26="","",ROUND(F26*(100-G26)/100,0))</f>
        <v>752</v>
      </c>
      <c r="J26" s="2" t="str">
        <f aca="false">IF(G26="","Needs KD",IF(D26&lt;&gt;"Client","Not a buyer",IF(AND(G26&lt;=25,F26&gt;=500),"P1 Quick Win",IF(AND(G26&lt;=35,F26&gt;=200),"P2 High Value",IF(G26&lt;=50,"P3 Build","P4 Long Term")))))</f>
        <v>P4 Long Term</v>
      </c>
      <c r="K26" s="2" t="s">
        <v>23</v>
      </c>
      <c r="L26" s="2" t="s">
        <v>18</v>
      </c>
      <c r="M26" s="2"/>
    </row>
    <row r="27" customFormat="false" ht="15" hidden="false" customHeight="false" outlineLevel="0" collapsed="false">
      <c r="A27" s="2" t="n">
        <v>26</v>
      </c>
      <c r="B27" s="2" t="s">
        <v>54</v>
      </c>
      <c r="C27" s="2" t="s">
        <v>14</v>
      </c>
      <c r="D27" s="2" t="s">
        <v>15</v>
      </c>
      <c r="E27" s="2" t="s">
        <v>20</v>
      </c>
      <c r="F27" s="3" t="n">
        <v>1600</v>
      </c>
      <c r="G27" s="2" t="n">
        <v>17</v>
      </c>
      <c r="H27" s="4" t="n">
        <v>0.89</v>
      </c>
      <c r="I27" s="3" t="n">
        <f aca="false">IF(G27="","",ROUND(F27*(100-G27)/100,0))</f>
        <v>1328</v>
      </c>
      <c r="J27" s="2" t="str">
        <f aca="false">IF(G27="","Needs KD",IF(D27&lt;&gt;"Client","Not a buyer",IF(AND(G27&lt;=25,F27&gt;=500),"P1 Quick Win",IF(AND(G27&lt;=35,F27&gt;=200),"P2 High Value",IF(G27&lt;=50,"P3 Build","P4 Long Term")))))</f>
        <v>P1 Quick Win</v>
      </c>
      <c r="K27" s="2" t="s">
        <v>45</v>
      </c>
      <c r="L27" s="2" t="s">
        <v>18</v>
      </c>
      <c r="M27" s="2"/>
    </row>
    <row r="28" customFormat="false" ht="15" hidden="false" customHeight="false" outlineLevel="0" collapsed="false">
      <c r="A28" s="2" t="n">
        <v>27</v>
      </c>
      <c r="B28" s="2" t="s">
        <v>55</v>
      </c>
      <c r="C28" s="2" t="s">
        <v>14</v>
      </c>
      <c r="D28" s="2" t="s">
        <v>15</v>
      </c>
      <c r="E28" s="2" t="s">
        <v>56</v>
      </c>
      <c r="F28" s="3" t="n">
        <v>1300</v>
      </c>
      <c r="G28" s="2" t="n">
        <v>41</v>
      </c>
      <c r="H28" s="4" t="n">
        <v>2.03</v>
      </c>
      <c r="I28" s="3" t="n">
        <f aca="false">IF(G28="","",ROUND(F28*(100-G28)/100,0))</f>
        <v>767</v>
      </c>
      <c r="J28" s="2" t="str">
        <f aca="false">IF(G28="","Needs KD",IF(D28&lt;&gt;"Client","Not a buyer",IF(AND(G28&lt;=25,F28&gt;=500),"P1 Quick Win",IF(AND(G28&lt;=35,F28&gt;=200),"P2 High Value",IF(G28&lt;=50,"P3 Build","P4 Long Term")))))</f>
        <v>P3 Build</v>
      </c>
      <c r="K28" s="2" t="s">
        <v>25</v>
      </c>
      <c r="L28" s="2" t="s">
        <v>18</v>
      </c>
      <c r="M28" s="2"/>
    </row>
    <row r="29" customFormat="false" ht="15" hidden="false" customHeight="false" outlineLevel="0" collapsed="false">
      <c r="A29" s="2" t="n">
        <v>28</v>
      </c>
      <c r="B29" s="2" t="s">
        <v>57</v>
      </c>
      <c r="C29" s="2" t="s">
        <v>14</v>
      </c>
      <c r="D29" s="2" t="s">
        <v>15</v>
      </c>
      <c r="E29" s="2" t="s">
        <v>20</v>
      </c>
      <c r="F29" s="3" t="n">
        <v>1300</v>
      </c>
      <c r="G29" s="2" t="n">
        <v>21</v>
      </c>
      <c r="H29" s="4" t="n">
        <v>0</v>
      </c>
      <c r="I29" s="3" t="n">
        <f aca="false">IF(G29="","",ROUND(F29*(100-G29)/100,0))</f>
        <v>1027</v>
      </c>
      <c r="J29" s="2" t="str">
        <f aca="false">IF(G29="","Needs KD",IF(D29&lt;&gt;"Client","Not a buyer",IF(AND(G29&lt;=25,F29&gt;=500),"P1 Quick Win",IF(AND(G29&lt;=35,F29&gt;=200),"P2 High Value",IF(G29&lt;=50,"P3 Build","P4 Long Term")))))</f>
        <v>P1 Quick Win</v>
      </c>
      <c r="K29" s="2" t="s">
        <v>23</v>
      </c>
      <c r="L29" s="2" t="s">
        <v>18</v>
      </c>
      <c r="M29" s="2"/>
    </row>
    <row r="30" customFormat="false" ht="15" hidden="false" customHeight="false" outlineLevel="0" collapsed="false">
      <c r="A30" s="2" t="n">
        <v>29</v>
      </c>
      <c r="B30" s="2" t="s">
        <v>58</v>
      </c>
      <c r="C30" s="2" t="s">
        <v>14</v>
      </c>
      <c r="D30" s="2" t="s">
        <v>15</v>
      </c>
      <c r="E30" s="2" t="s">
        <v>20</v>
      </c>
      <c r="F30" s="3" t="n">
        <v>1300</v>
      </c>
      <c r="G30" s="2" t="n">
        <v>27</v>
      </c>
      <c r="H30" s="4" t="n">
        <v>0</v>
      </c>
      <c r="I30" s="3" t="n">
        <f aca="false">IF(G30="","",ROUND(F30*(100-G30)/100,0))</f>
        <v>949</v>
      </c>
      <c r="J30" s="2" t="str">
        <f aca="false">IF(G30="","Needs KD",IF(D30&lt;&gt;"Client","Not a buyer",IF(AND(G30&lt;=25,F30&gt;=500),"P1 Quick Win",IF(AND(G30&lt;=35,F30&gt;=200),"P2 High Value",IF(G30&lt;=50,"P3 Build","P4 Long Term")))))</f>
        <v>P2 High Value</v>
      </c>
      <c r="K30" s="2" t="s">
        <v>23</v>
      </c>
      <c r="L30" s="2" t="s">
        <v>18</v>
      </c>
      <c r="M30" s="2"/>
    </row>
    <row r="31" customFormat="false" ht="15" hidden="false" customHeight="false" outlineLevel="0" collapsed="false">
      <c r="A31" s="2" t="n">
        <v>30</v>
      </c>
      <c r="B31" s="2" t="s">
        <v>59</v>
      </c>
      <c r="C31" s="2" t="s">
        <v>14</v>
      </c>
      <c r="D31" s="2" t="s">
        <v>15</v>
      </c>
      <c r="E31" s="2" t="s">
        <v>20</v>
      </c>
      <c r="F31" s="3" t="n">
        <v>1300</v>
      </c>
      <c r="G31" s="2" t="n">
        <v>34</v>
      </c>
      <c r="H31" s="4" t="n">
        <v>0.32</v>
      </c>
      <c r="I31" s="3" t="n">
        <f aca="false">IF(G31="","",ROUND(F31*(100-G31)/100,0))</f>
        <v>858</v>
      </c>
      <c r="J31" s="2" t="str">
        <f aca="false">IF(G31="","Needs KD",IF(D31&lt;&gt;"Client","Not a buyer",IF(AND(G31&lt;=25,F31&gt;=500),"P1 Quick Win",IF(AND(G31&lt;=35,F31&gt;=200),"P2 High Value",IF(G31&lt;=50,"P3 Build","P4 Long Term")))))</f>
        <v>P2 High Value</v>
      </c>
      <c r="K31" s="2" t="s">
        <v>37</v>
      </c>
      <c r="L31" s="2" t="s">
        <v>18</v>
      </c>
      <c r="M31" s="2"/>
    </row>
    <row r="32" customFormat="false" ht="15" hidden="false" customHeight="false" outlineLevel="0" collapsed="false">
      <c r="A32" s="2" t="n">
        <v>31</v>
      </c>
      <c r="B32" s="2" t="s">
        <v>60</v>
      </c>
      <c r="C32" s="2" t="s">
        <v>14</v>
      </c>
      <c r="D32" s="2" t="s">
        <v>15</v>
      </c>
      <c r="E32" s="2" t="s">
        <v>20</v>
      </c>
      <c r="F32" s="3" t="n">
        <v>1300</v>
      </c>
      <c r="G32" s="2" t="n">
        <v>39</v>
      </c>
      <c r="H32" s="4" t="n">
        <v>0.09</v>
      </c>
      <c r="I32" s="3" t="n">
        <f aca="false">IF(G32="","",ROUND(F32*(100-G32)/100,0))</f>
        <v>793</v>
      </c>
      <c r="J32" s="2" t="str">
        <f aca="false">IF(G32="","Needs KD",IF(D32&lt;&gt;"Client","Not a buyer",IF(AND(G32&lt;=25,F32&gt;=500),"P1 Quick Win",IF(AND(G32&lt;=35,F32&gt;=200),"P2 High Value",IF(G32&lt;=50,"P3 Build","P4 Long Term")))))</f>
        <v>P3 Build</v>
      </c>
      <c r="K32" s="2" t="s">
        <v>17</v>
      </c>
      <c r="L32" s="2" t="s">
        <v>18</v>
      </c>
      <c r="M32" s="2"/>
    </row>
    <row r="33" customFormat="false" ht="15" hidden="false" customHeight="false" outlineLevel="0" collapsed="false">
      <c r="A33" s="5" t="n">
        <v>32</v>
      </c>
      <c r="B33" s="5" t="s">
        <v>61</v>
      </c>
      <c r="C33" s="5" t="s">
        <v>14</v>
      </c>
      <c r="D33" s="5" t="s">
        <v>62</v>
      </c>
      <c r="E33" s="5" t="s">
        <v>44</v>
      </c>
      <c r="F33" s="6" t="n">
        <v>1300</v>
      </c>
      <c r="G33" s="5" t="n">
        <v>27</v>
      </c>
      <c r="H33" s="7" t="n">
        <v>1.08</v>
      </c>
      <c r="I33" s="6" t="n">
        <f aca="false">IF(G33="","",ROUND(F33*(100-G33)/100,0))</f>
        <v>949</v>
      </c>
      <c r="J33" s="5" t="str">
        <f aca="false">IF(G33="","Needs KD",IF(D33&lt;&gt;"Client","Not a buyer",IF(AND(G33&lt;=25,F33&gt;=500),"P1 Quick Win",IF(AND(G33&lt;=35,F33&gt;=200),"P2 High Value",IF(G33&lt;=50,"P3 Build","P4 Long Term")))))</f>
        <v>Not a buyer</v>
      </c>
      <c r="K33" s="5" t="s">
        <v>63</v>
      </c>
      <c r="L33" s="5" t="s">
        <v>18</v>
      </c>
      <c r="M33" s="5"/>
    </row>
    <row r="34" customFormat="false" ht="15" hidden="false" customHeight="false" outlineLevel="0" collapsed="false">
      <c r="A34" s="2" t="n">
        <v>33</v>
      </c>
      <c r="B34" s="2" t="s">
        <v>64</v>
      </c>
      <c r="C34" s="2" t="s">
        <v>14</v>
      </c>
      <c r="D34" s="2" t="s">
        <v>15</v>
      </c>
      <c r="E34" s="2" t="s">
        <v>56</v>
      </c>
      <c r="F34" s="3" t="n">
        <v>1000</v>
      </c>
      <c r="G34" s="2" t="n">
        <v>42</v>
      </c>
      <c r="H34" s="4" t="n">
        <v>0</v>
      </c>
      <c r="I34" s="3" t="n">
        <f aca="false">IF(G34="","",ROUND(F34*(100-G34)/100,0))</f>
        <v>580</v>
      </c>
      <c r="J34" s="2" t="str">
        <f aca="false">IF(G34="","Needs KD",IF(D34&lt;&gt;"Client","Not a buyer",IF(AND(G34&lt;=25,F34&gt;=500),"P1 Quick Win",IF(AND(G34&lt;=35,F34&gt;=200),"P2 High Value",IF(G34&lt;=50,"P3 Build","P4 Long Term")))))</f>
        <v>P3 Build</v>
      </c>
      <c r="K34" s="2" t="s">
        <v>25</v>
      </c>
      <c r="L34" s="2" t="s">
        <v>18</v>
      </c>
      <c r="M34" s="2"/>
    </row>
    <row r="35" customFormat="false" ht="15" hidden="false" customHeight="false" outlineLevel="0" collapsed="false">
      <c r="A35" s="2" t="n">
        <v>34</v>
      </c>
      <c r="B35" s="2" t="s">
        <v>65</v>
      </c>
      <c r="C35" s="2" t="s">
        <v>14</v>
      </c>
      <c r="D35" s="2" t="s">
        <v>15</v>
      </c>
      <c r="E35" s="2" t="s">
        <v>20</v>
      </c>
      <c r="F35" s="3" t="n">
        <v>1000</v>
      </c>
      <c r="G35" s="2" t="n">
        <v>9</v>
      </c>
      <c r="H35" s="4" t="n">
        <v>0</v>
      </c>
      <c r="I35" s="3" t="n">
        <f aca="false">IF(G35="","",ROUND(F35*(100-G35)/100,0))</f>
        <v>910</v>
      </c>
      <c r="J35" s="2" t="str">
        <f aca="false">IF(G35="","Needs KD",IF(D35&lt;&gt;"Client","Not a buyer",IF(AND(G35&lt;=25,F35&gt;=500),"P1 Quick Win",IF(AND(G35&lt;=35,F35&gt;=200),"P2 High Value",IF(G35&lt;=50,"P3 Build","P4 Long Term")))))</f>
        <v>P1 Quick Win</v>
      </c>
      <c r="K35" s="2" t="s">
        <v>23</v>
      </c>
      <c r="L35" s="2" t="s">
        <v>18</v>
      </c>
      <c r="M35" s="2"/>
    </row>
    <row r="36" customFormat="false" ht="15" hidden="false" customHeight="false" outlineLevel="0" collapsed="false">
      <c r="A36" s="2" t="n">
        <v>35</v>
      </c>
      <c r="B36" s="2" t="s">
        <v>66</v>
      </c>
      <c r="C36" s="2" t="s">
        <v>14</v>
      </c>
      <c r="D36" s="2" t="s">
        <v>15</v>
      </c>
      <c r="E36" s="2" t="s">
        <v>20</v>
      </c>
      <c r="F36" s="3" t="n">
        <v>1000</v>
      </c>
      <c r="G36" s="2" t="n">
        <v>22</v>
      </c>
      <c r="H36" s="4" t="n">
        <v>0</v>
      </c>
      <c r="I36" s="3" t="n">
        <f aca="false">IF(G36="","",ROUND(F36*(100-G36)/100,0))</f>
        <v>780</v>
      </c>
      <c r="J36" s="2" t="str">
        <f aca="false">IF(G36="","Needs KD",IF(D36&lt;&gt;"Client","Not a buyer",IF(AND(G36&lt;=25,F36&gt;=500),"P1 Quick Win",IF(AND(G36&lt;=35,F36&gt;=200),"P2 High Value",IF(G36&lt;=50,"P3 Build","P4 Long Term")))))</f>
        <v>P1 Quick Win</v>
      </c>
      <c r="K36" s="2" t="s">
        <v>23</v>
      </c>
      <c r="L36" s="2" t="s">
        <v>18</v>
      </c>
      <c r="M36" s="2"/>
    </row>
    <row r="37" customFormat="false" ht="15" hidden="false" customHeight="false" outlineLevel="0" collapsed="false">
      <c r="A37" s="2" t="n">
        <v>36</v>
      </c>
      <c r="B37" s="2" t="s">
        <v>67</v>
      </c>
      <c r="C37" s="2" t="s">
        <v>14</v>
      </c>
      <c r="D37" s="2" t="s">
        <v>15</v>
      </c>
      <c r="E37" s="2" t="s">
        <v>20</v>
      </c>
      <c r="F37" s="3" t="n">
        <v>1000</v>
      </c>
      <c r="G37" s="2" t="n">
        <v>66</v>
      </c>
      <c r="H37" s="4" t="n">
        <v>0.95</v>
      </c>
      <c r="I37" s="3" t="n">
        <f aca="false">IF(G37="","",ROUND(F37*(100-G37)/100,0))</f>
        <v>340</v>
      </c>
      <c r="J37" s="2" t="str">
        <f aca="false">IF(G37="","Needs KD",IF(D37&lt;&gt;"Client","Not a buyer",IF(AND(G37&lt;=25,F37&gt;=500),"P1 Quick Win",IF(AND(G37&lt;=35,F37&gt;=200),"P2 High Value",IF(G37&lt;=50,"P3 Build","P4 Long Term")))))</f>
        <v>P4 Long Term</v>
      </c>
      <c r="K37" s="2" t="s">
        <v>17</v>
      </c>
      <c r="L37" s="2" t="s">
        <v>18</v>
      </c>
      <c r="M37" s="2"/>
    </row>
    <row r="38" customFormat="false" ht="15" hidden="false" customHeight="false" outlineLevel="0" collapsed="false">
      <c r="A38" s="2" t="n">
        <v>37</v>
      </c>
      <c r="B38" s="2" t="s">
        <v>68</v>
      </c>
      <c r="C38" s="2" t="s">
        <v>14</v>
      </c>
      <c r="D38" s="2" t="s">
        <v>15</v>
      </c>
      <c r="E38" s="2" t="s">
        <v>44</v>
      </c>
      <c r="F38" s="3" t="n">
        <v>1000</v>
      </c>
      <c r="G38" s="2" t="n">
        <v>25</v>
      </c>
      <c r="H38" s="4" t="n">
        <v>0.88</v>
      </c>
      <c r="I38" s="3" t="n">
        <f aca="false">IF(G38="","",ROUND(F38*(100-G38)/100,0))</f>
        <v>750</v>
      </c>
      <c r="J38" s="2" t="str">
        <f aca="false">IF(G38="","Needs KD",IF(D38&lt;&gt;"Client","Not a buyer",IF(AND(G38&lt;=25,F38&gt;=500),"P1 Quick Win",IF(AND(G38&lt;=35,F38&gt;=200),"P2 High Value",IF(G38&lt;=50,"P3 Build","P4 Long Term")))))</f>
        <v>P1 Quick Win</v>
      </c>
      <c r="K38" s="2" t="s">
        <v>45</v>
      </c>
      <c r="L38" s="2" t="s">
        <v>18</v>
      </c>
      <c r="M38" s="2"/>
    </row>
    <row r="39" customFormat="false" ht="15" hidden="false" customHeight="false" outlineLevel="0" collapsed="false">
      <c r="A39" s="2" t="n">
        <v>38</v>
      </c>
      <c r="B39" s="2" t="s">
        <v>69</v>
      </c>
      <c r="C39" s="2" t="s">
        <v>14</v>
      </c>
      <c r="D39" s="2" t="s">
        <v>15</v>
      </c>
      <c r="E39" s="2" t="s">
        <v>53</v>
      </c>
      <c r="F39" s="3" t="n">
        <v>880</v>
      </c>
      <c r="G39" s="2" t="n">
        <v>22</v>
      </c>
      <c r="H39" s="4" t="n">
        <v>0</v>
      </c>
      <c r="I39" s="3" t="n">
        <f aca="false">IF(G39="","",ROUND(F39*(100-G39)/100,0))</f>
        <v>686</v>
      </c>
      <c r="J39" s="2" t="str">
        <f aca="false">IF(G39="","Needs KD",IF(D39&lt;&gt;"Client","Not a buyer",IF(AND(G39&lt;=25,F39&gt;=500),"P1 Quick Win",IF(AND(G39&lt;=35,F39&gt;=200),"P2 High Value",IF(G39&lt;=50,"P3 Build","P4 Long Term")))))</f>
        <v>P1 Quick Win</v>
      </c>
      <c r="K39" s="2" t="s">
        <v>23</v>
      </c>
      <c r="L39" s="2" t="s">
        <v>18</v>
      </c>
      <c r="M39" s="2"/>
    </row>
    <row r="40" customFormat="false" ht="15" hidden="false" customHeight="false" outlineLevel="0" collapsed="false">
      <c r="A40" s="2" t="n">
        <v>39</v>
      </c>
      <c r="B40" s="2" t="s">
        <v>70</v>
      </c>
      <c r="C40" s="2" t="s">
        <v>14</v>
      </c>
      <c r="D40" s="2" t="s">
        <v>15</v>
      </c>
      <c r="E40" s="2" t="s">
        <v>34</v>
      </c>
      <c r="F40" s="3" t="n">
        <v>880</v>
      </c>
      <c r="G40" s="2" t="n">
        <v>6</v>
      </c>
      <c r="H40" s="4" t="n">
        <v>0.83</v>
      </c>
      <c r="I40" s="3" t="n">
        <f aca="false">IF(G40="","",ROUND(F40*(100-G40)/100,0))</f>
        <v>827</v>
      </c>
      <c r="J40" s="2" t="str">
        <f aca="false">IF(G40="","Needs KD",IF(D40&lt;&gt;"Client","Not a buyer",IF(AND(G40&lt;=25,F40&gt;=500),"P1 Quick Win",IF(AND(G40&lt;=35,F40&gt;=200),"P2 High Value",IF(G40&lt;=50,"P3 Build","P4 Long Term")))))</f>
        <v>P1 Quick Win</v>
      </c>
      <c r="K40" s="2" t="s">
        <v>63</v>
      </c>
      <c r="L40" s="2" t="s">
        <v>18</v>
      </c>
      <c r="M40" s="2"/>
    </row>
    <row r="41" customFormat="false" ht="15" hidden="false" customHeight="false" outlineLevel="0" collapsed="false">
      <c r="A41" s="5" t="n">
        <v>40</v>
      </c>
      <c r="B41" s="5" t="s">
        <v>71</v>
      </c>
      <c r="C41" s="5" t="s">
        <v>14</v>
      </c>
      <c r="D41" s="5" t="s">
        <v>62</v>
      </c>
      <c r="E41" s="5" t="s">
        <v>44</v>
      </c>
      <c r="F41" s="6" t="n">
        <v>880</v>
      </c>
      <c r="G41" s="5" t="n">
        <v>35</v>
      </c>
      <c r="H41" s="7" t="n">
        <v>1.08</v>
      </c>
      <c r="I41" s="6" t="n">
        <f aca="false">IF(G41="","",ROUND(F41*(100-G41)/100,0))</f>
        <v>572</v>
      </c>
      <c r="J41" s="5" t="str">
        <f aca="false">IF(G41="","Needs KD",IF(D41&lt;&gt;"Client","Not a buyer",IF(AND(G41&lt;=25,F41&gt;=500),"P1 Quick Win",IF(AND(G41&lt;=35,F41&gt;=200),"P2 High Value",IF(G41&lt;=50,"P3 Build","P4 Long Term")))))</f>
        <v>Not a buyer</v>
      </c>
      <c r="K41" s="5" t="s">
        <v>63</v>
      </c>
      <c r="L41" s="5" t="s">
        <v>18</v>
      </c>
      <c r="M41" s="5"/>
    </row>
    <row r="42" customFormat="false" ht="15" hidden="false" customHeight="false" outlineLevel="0" collapsed="false">
      <c r="A42" s="5" t="n">
        <v>41</v>
      </c>
      <c r="B42" s="5" t="s">
        <v>72</v>
      </c>
      <c r="C42" s="5" t="s">
        <v>14</v>
      </c>
      <c r="D42" s="5" t="s">
        <v>73</v>
      </c>
      <c r="E42" s="5" t="s">
        <v>16</v>
      </c>
      <c r="F42" s="6" t="n">
        <v>880</v>
      </c>
      <c r="G42" s="5" t="n">
        <v>22</v>
      </c>
      <c r="H42" s="7" t="n">
        <v>0</v>
      </c>
      <c r="I42" s="6" t="n">
        <f aca="false">IF(G42="","",ROUND(F42*(100-G42)/100,0))</f>
        <v>686</v>
      </c>
      <c r="J42" s="5" t="str">
        <f aca="false">IF(G42="","Needs KD",IF(D42&lt;&gt;"Client","Not a buyer",IF(AND(G42&lt;=25,F42&gt;=500),"P1 Quick Win",IF(AND(G42&lt;=35,F42&gt;=200),"P2 High Value",IF(G42&lt;=50,"P3 Build","P4 Long Term")))))</f>
        <v>Not a buyer</v>
      </c>
      <c r="K42" s="5" t="s">
        <v>74</v>
      </c>
      <c r="L42" s="5" t="s">
        <v>18</v>
      </c>
      <c r="M42" s="5"/>
    </row>
    <row r="43" customFormat="false" ht="15" hidden="false" customHeight="false" outlineLevel="0" collapsed="false">
      <c r="A43" s="2" t="n">
        <v>42</v>
      </c>
      <c r="B43" s="2" t="s">
        <v>75</v>
      </c>
      <c r="C43" s="2" t="s">
        <v>14</v>
      </c>
      <c r="D43" s="2" t="s">
        <v>15</v>
      </c>
      <c r="E43" s="2" t="s">
        <v>20</v>
      </c>
      <c r="F43" s="3" t="n">
        <v>720</v>
      </c>
      <c r="G43" s="2" t="n">
        <v>18</v>
      </c>
      <c r="H43" s="4" t="n">
        <v>0</v>
      </c>
      <c r="I43" s="3" t="n">
        <f aca="false">IF(G43="","",ROUND(F43*(100-G43)/100,0))</f>
        <v>590</v>
      </c>
      <c r="J43" s="2" t="str">
        <f aca="false">IF(G43="","Needs KD",IF(D43&lt;&gt;"Client","Not a buyer",IF(AND(G43&lt;=25,F43&gt;=500),"P1 Quick Win",IF(AND(G43&lt;=35,F43&gt;=200),"P2 High Value",IF(G43&lt;=50,"P3 Build","P4 Long Term")))))</f>
        <v>P1 Quick Win</v>
      </c>
      <c r="K43" s="2" t="s">
        <v>23</v>
      </c>
      <c r="L43" s="2" t="s">
        <v>18</v>
      </c>
      <c r="M43" s="2"/>
    </row>
    <row r="44" customFormat="false" ht="15" hidden="false" customHeight="false" outlineLevel="0" collapsed="false">
      <c r="A44" s="2" t="n">
        <v>43</v>
      </c>
      <c r="B44" s="2" t="s">
        <v>76</v>
      </c>
      <c r="C44" s="2" t="s">
        <v>14</v>
      </c>
      <c r="D44" s="2" t="s">
        <v>15</v>
      </c>
      <c r="E44" s="2" t="s">
        <v>20</v>
      </c>
      <c r="F44" s="3" t="n">
        <v>720</v>
      </c>
      <c r="G44" s="2" t="n">
        <v>22</v>
      </c>
      <c r="H44" s="4" t="n">
        <v>0.72</v>
      </c>
      <c r="I44" s="3" t="n">
        <f aca="false">IF(G44="","",ROUND(F44*(100-G44)/100,0))</f>
        <v>562</v>
      </c>
      <c r="J44" s="2" t="str">
        <f aca="false">IF(G44="","Needs KD",IF(D44&lt;&gt;"Client","Not a buyer",IF(AND(G44&lt;=25,F44&gt;=500),"P1 Quick Win",IF(AND(G44&lt;=35,F44&gt;=200),"P2 High Value",IF(G44&lt;=50,"P3 Build","P4 Long Term")))))</f>
        <v>P1 Quick Win</v>
      </c>
      <c r="K44" s="2" t="s">
        <v>41</v>
      </c>
      <c r="L44" s="2" t="s">
        <v>18</v>
      </c>
      <c r="M44" s="2"/>
    </row>
    <row r="45" customFormat="false" ht="15" hidden="false" customHeight="false" outlineLevel="0" collapsed="false">
      <c r="A45" s="2" t="n">
        <v>44</v>
      </c>
      <c r="B45" s="2" t="s">
        <v>77</v>
      </c>
      <c r="C45" s="2" t="s">
        <v>14</v>
      </c>
      <c r="D45" s="2" t="s">
        <v>15</v>
      </c>
      <c r="E45" s="2" t="s">
        <v>16</v>
      </c>
      <c r="F45" s="3" t="n">
        <v>720</v>
      </c>
      <c r="G45" s="2" t="n">
        <v>23</v>
      </c>
      <c r="H45" s="4" t="n">
        <v>0.69</v>
      </c>
      <c r="I45" s="3" t="n">
        <f aca="false">IF(G45="","",ROUND(F45*(100-G45)/100,0))</f>
        <v>554</v>
      </c>
      <c r="J45" s="2" t="str">
        <f aca="false">IF(G45="","Needs KD",IF(D45&lt;&gt;"Client","Not a buyer",IF(AND(G45&lt;=25,F45&gt;=500),"P1 Quick Win",IF(AND(G45&lt;=35,F45&gt;=200),"P2 High Value",IF(G45&lt;=50,"P3 Build","P4 Long Term")))))</f>
        <v>P1 Quick Win</v>
      </c>
      <c r="K45" s="2" t="s">
        <v>41</v>
      </c>
      <c r="L45" s="2" t="s">
        <v>18</v>
      </c>
      <c r="M45" s="2"/>
    </row>
    <row r="46" customFormat="false" ht="15" hidden="false" customHeight="false" outlineLevel="0" collapsed="false">
      <c r="A46" s="2" t="n">
        <v>45</v>
      </c>
      <c r="B46" s="2" t="s">
        <v>78</v>
      </c>
      <c r="C46" s="2" t="s">
        <v>14</v>
      </c>
      <c r="D46" s="2" t="s">
        <v>15</v>
      </c>
      <c r="E46" s="2" t="s">
        <v>20</v>
      </c>
      <c r="F46" s="3" t="n">
        <v>720</v>
      </c>
      <c r="G46" s="2" t="n">
        <v>38</v>
      </c>
      <c r="H46" s="4" t="n">
        <v>0.09</v>
      </c>
      <c r="I46" s="3" t="n">
        <f aca="false">IF(G46="","",ROUND(F46*(100-G46)/100,0))</f>
        <v>446</v>
      </c>
      <c r="J46" s="2" t="str">
        <f aca="false">IF(G46="","Needs KD",IF(D46&lt;&gt;"Client","Not a buyer",IF(AND(G46&lt;=25,F46&gt;=500),"P1 Quick Win",IF(AND(G46&lt;=35,F46&gt;=200),"P2 High Value",IF(G46&lt;=50,"P3 Build","P4 Long Term")))))</f>
        <v>P3 Build</v>
      </c>
      <c r="K46" s="2" t="s">
        <v>41</v>
      </c>
      <c r="L46" s="2" t="s">
        <v>18</v>
      </c>
      <c r="M46" s="2"/>
    </row>
    <row r="47" customFormat="false" ht="15" hidden="false" customHeight="false" outlineLevel="0" collapsed="false">
      <c r="A47" s="5" t="n">
        <v>46</v>
      </c>
      <c r="B47" s="5" t="s">
        <v>79</v>
      </c>
      <c r="C47" s="5" t="s">
        <v>14</v>
      </c>
      <c r="D47" s="5" t="s">
        <v>62</v>
      </c>
      <c r="E47" s="5" t="s">
        <v>20</v>
      </c>
      <c r="F47" s="6" t="n">
        <v>720</v>
      </c>
      <c r="G47" s="5" t="n">
        <v>24</v>
      </c>
      <c r="H47" s="7" t="n">
        <v>0.85</v>
      </c>
      <c r="I47" s="6" t="n">
        <f aca="false">IF(G47="","",ROUND(F47*(100-G47)/100,0))</f>
        <v>547</v>
      </c>
      <c r="J47" s="5" t="str">
        <f aca="false">IF(G47="","Needs KD",IF(D47&lt;&gt;"Client","Not a buyer",IF(AND(G47&lt;=25,F47&gt;=500),"P1 Quick Win",IF(AND(G47&lt;=35,F47&gt;=200),"P2 High Value",IF(G47&lt;=50,"P3 Build","P4 Long Term")))))</f>
        <v>Not a buyer</v>
      </c>
      <c r="K47" s="5" t="s">
        <v>63</v>
      </c>
      <c r="L47" s="5" t="s">
        <v>18</v>
      </c>
      <c r="M47" s="5"/>
    </row>
    <row r="48" customFormat="false" ht="15" hidden="false" customHeight="false" outlineLevel="0" collapsed="false">
      <c r="A48" s="2" t="n">
        <v>47</v>
      </c>
      <c r="B48" s="2" t="s">
        <v>80</v>
      </c>
      <c r="C48" s="2" t="s">
        <v>14</v>
      </c>
      <c r="D48" s="2" t="s">
        <v>15</v>
      </c>
      <c r="E48" s="2" t="s">
        <v>56</v>
      </c>
      <c r="F48" s="3" t="n">
        <v>720</v>
      </c>
      <c r="G48" s="2" t="n">
        <v>46</v>
      </c>
      <c r="H48" s="4" t="n">
        <v>0.98</v>
      </c>
      <c r="I48" s="3" t="n">
        <f aca="false">IF(G48="","",ROUND(F48*(100-G48)/100,0))</f>
        <v>389</v>
      </c>
      <c r="J48" s="2" t="str">
        <f aca="false">IF(G48="","Needs KD",IF(D48&lt;&gt;"Client","Not a buyer",IF(AND(G48&lt;=25,F48&gt;=500),"P1 Quick Win",IF(AND(G48&lt;=35,F48&gt;=200),"P2 High Value",IF(G48&lt;=50,"P3 Build","P4 Long Term")))))</f>
        <v>P3 Build</v>
      </c>
      <c r="K48" s="2" t="s">
        <v>81</v>
      </c>
      <c r="L48" s="2" t="s">
        <v>18</v>
      </c>
      <c r="M48" s="2"/>
    </row>
    <row r="49" customFormat="false" ht="15" hidden="false" customHeight="false" outlineLevel="0" collapsed="false">
      <c r="A49" s="2" t="n">
        <v>48</v>
      </c>
      <c r="B49" s="2" t="s">
        <v>82</v>
      </c>
      <c r="C49" s="2" t="s">
        <v>14</v>
      </c>
      <c r="D49" s="2" t="s">
        <v>15</v>
      </c>
      <c r="E49" s="2" t="s">
        <v>20</v>
      </c>
      <c r="F49" s="3" t="n">
        <v>720</v>
      </c>
      <c r="G49" s="2" t="n">
        <v>63</v>
      </c>
      <c r="H49" s="4" t="n">
        <v>0.5</v>
      </c>
      <c r="I49" s="3" t="n">
        <f aca="false">IF(G49="","",ROUND(F49*(100-G49)/100,0))</f>
        <v>266</v>
      </c>
      <c r="J49" s="2" t="str">
        <f aca="false">IF(G49="","Needs KD",IF(D49&lt;&gt;"Client","Not a buyer",IF(AND(G49&lt;=25,F49&gt;=500),"P1 Quick Win",IF(AND(G49&lt;=35,F49&gt;=200),"P2 High Value",IF(G49&lt;=50,"P3 Build","P4 Long Term")))))</f>
        <v>P4 Long Term</v>
      </c>
      <c r="K49" s="2" t="s">
        <v>83</v>
      </c>
      <c r="L49" s="2" t="s">
        <v>18</v>
      </c>
      <c r="M49" s="2"/>
    </row>
    <row r="50" customFormat="false" ht="15" hidden="false" customHeight="false" outlineLevel="0" collapsed="false">
      <c r="A50" s="2" t="n">
        <v>49</v>
      </c>
      <c r="B50" s="2" t="s">
        <v>84</v>
      </c>
      <c r="C50" s="2" t="s">
        <v>14</v>
      </c>
      <c r="D50" s="2" t="s">
        <v>15</v>
      </c>
      <c r="E50" s="2" t="s">
        <v>53</v>
      </c>
      <c r="F50" s="3" t="n">
        <v>590</v>
      </c>
      <c r="G50" s="2" t="n">
        <v>16</v>
      </c>
      <c r="H50" s="4" t="n">
        <v>2.12</v>
      </c>
      <c r="I50" s="3" t="n">
        <f aca="false">IF(G50="","",ROUND(F50*(100-G50)/100,0))</f>
        <v>496</v>
      </c>
      <c r="J50" s="2" t="str">
        <f aca="false">IF(G50="","Needs KD",IF(D50&lt;&gt;"Client","Not a buyer",IF(AND(G50&lt;=25,F50&gt;=500),"P1 Quick Win",IF(AND(G50&lt;=35,F50&gt;=200),"P2 High Value",IF(G50&lt;=50,"P3 Build","P4 Long Term")))))</f>
        <v>P1 Quick Win</v>
      </c>
      <c r="K50" s="2" t="s">
        <v>25</v>
      </c>
      <c r="L50" s="2" t="s">
        <v>18</v>
      </c>
      <c r="M50" s="2"/>
    </row>
    <row r="51" customFormat="false" ht="15" hidden="false" customHeight="false" outlineLevel="0" collapsed="false">
      <c r="A51" s="2" t="n">
        <v>50</v>
      </c>
      <c r="B51" s="2" t="s">
        <v>85</v>
      </c>
      <c r="C51" s="2" t="s">
        <v>14</v>
      </c>
      <c r="D51" s="2" t="s">
        <v>15</v>
      </c>
      <c r="E51" s="2" t="s">
        <v>20</v>
      </c>
      <c r="F51" s="3" t="n">
        <v>590</v>
      </c>
      <c r="G51" s="2" t="n">
        <v>24</v>
      </c>
      <c r="H51" s="4" t="n">
        <v>0</v>
      </c>
      <c r="I51" s="3" t="n">
        <f aca="false">IF(G51="","",ROUND(F51*(100-G51)/100,0))</f>
        <v>448</v>
      </c>
      <c r="J51" s="2" t="str">
        <f aca="false">IF(G51="","Needs KD",IF(D51&lt;&gt;"Client","Not a buyer",IF(AND(G51&lt;=25,F51&gt;=500),"P1 Quick Win",IF(AND(G51&lt;=35,F51&gt;=200),"P2 High Value",IF(G51&lt;=50,"P3 Build","P4 Long Term")))))</f>
        <v>P1 Quick Win</v>
      </c>
      <c r="K51" s="2" t="s">
        <v>23</v>
      </c>
      <c r="L51" s="2" t="s">
        <v>18</v>
      </c>
      <c r="M51" s="2"/>
    </row>
    <row r="52" customFormat="false" ht="15" hidden="false" customHeight="false" outlineLevel="0" collapsed="false">
      <c r="A52" s="2" t="n">
        <v>51</v>
      </c>
      <c r="B52" s="2" t="s">
        <v>86</v>
      </c>
      <c r="C52" s="2" t="s">
        <v>14</v>
      </c>
      <c r="D52" s="2" t="s">
        <v>15</v>
      </c>
      <c r="E52" s="2" t="s">
        <v>20</v>
      </c>
      <c r="F52" s="3" t="n">
        <v>590</v>
      </c>
      <c r="G52" s="2" t="n">
        <v>18</v>
      </c>
      <c r="H52" s="4" t="n">
        <v>0.99</v>
      </c>
      <c r="I52" s="3" t="n">
        <f aca="false">IF(G52="","",ROUND(F52*(100-G52)/100,0))</f>
        <v>484</v>
      </c>
      <c r="J52" s="2" t="str">
        <f aca="false">IF(G52="","Needs KD",IF(D52&lt;&gt;"Client","Not a buyer",IF(AND(G52&lt;=25,F52&gt;=500),"P1 Quick Win",IF(AND(G52&lt;=35,F52&gt;=200),"P2 High Value",IF(G52&lt;=50,"P3 Build","P4 Long Term")))))</f>
        <v>P1 Quick Win</v>
      </c>
      <c r="K52" s="2" t="s">
        <v>23</v>
      </c>
      <c r="L52" s="2" t="s">
        <v>18</v>
      </c>
      <c r="M52" s="2"/>
    </row>
    <row r="53" customFormat="false" ht="15" hidden="false" customHeight="false" outlineLevel="0" collapsed="false">
      <c r="A53" s="2" t="n">
        <v>52</v>
      </c>
      <c r="B53" s="2" t="s">
        <v>87</v>
      </c>
      <c r="C53" s="2" t="s">
        <v>14</v>
      </c>
      <c r="D53" s="2" t="s">
        <v>15</v>
      </c>
      <c r="E53" s="2" t="s">
        <v>39</v>
      </c>
      <c r="F53" s="3" t="n">
        <v>590</v>
      </c>
      <c r="G53" s="2" t="n">
        <v>47</v>
      </c>
      <c r="H53" s="4" t="n">
        <v>0.52</v>
      </c>
      <c r="I53" s="3" t="n">
        <f aca="false">IF(G53="","",ROUND(F53*(100-G53)/100,0))</f>
        <v>313</v>
      </c>
      <c r="J53" s="2" t="str">
        <f aca="false">IF(G53="","Needs KD",IF(D53&lt;&gt;"Client","Not a buyer",IF(AND(G53&lt;=25,F53&gt;=500),"P1 Quick Win",IF(AND(G53&lt;=35,F53&gt;=200),"P2 High Value",IF(G53&lt;=50,"P3 Build","P4 Long Term")))))</f>
        <v>P3 Build</v>
      </c>
      <c r="K53" s="2" t="s">
        <v>37</v>
      </c>
      <c r="L53" s="2" t="s">
        <v>18</v>
      </c>
      <c r="M53" s="2"/>
    </row>
    <row r="54" customFormat="false" ht="15" hidden="false" customHeight="false" outlineLevel="0" collapsed="false">
      <c r="A54" s="2" t="n">
        <v>53</v>
      </c>
      <c r="B54" s="2" t="s">
        <v>88</v>
      </c>
      <c r="C54" s="2" t="s">
        <v>14</v>
      </c>
      <c r="D54" s="2" t="s">
        <v>15</v>
      </c>
      <c r="E54" s="2" t="s">
        <v>20</v>
      </c>
      <c r="F54" s="3" t="n">
        <v>590</v>
      </c>
      <c r="G54" s="2" t="n">
        <v>44</v>
      </c>
      <c r="H54" s="4" t="n">
        <v>0.16</v>
      </c>
      <c r="I54" s="3" t="n">
        <f aca="false">IF(G54="","",ROUND(F54*(100-G54)/100,0))</f>
        <v>330</v>
      </c>
      <c r="J54" s="2" t="str">
        <f aca="false">IF(G54="","Needs KD",IF(D54&lt;&gt;"Client","Not a buyer",IF(AND(G54&lt;=25,F54&gt;=500),"P1 Quick Win",IF(AND(G54&lt;=35,F54&gt;=200),"P2 High Value",IF(G54&lt;=50,"P3 Build","P4 Long Term")))))</f>
        <v>P3 Build</v>
      </c>
      <c r="K54" s="2" t="s">
        <v>41</v>
      </c>
      <c r="L54" s="2" t="s">
        <v>18</v>
      </c>
      <c r="M54" s="2"/>
    </row>
    <row r="55" customFormat="false" ht="15" hidden="false" customHeight="false" outlineLevel="0" collapsed="false">
      <c r="A55" s="2" t="n">
        <v>54</v>
      </c>
      <c r="B55" s="2" t="s">
        <v>89</v>
      </c>
      <c r="C55" s="2" t="s">
        <v>14</v>
      </c>
      <c r="D55" s="2" t="s">
        <v>15</v>
      </c>
      <c r="E55" s="2" t="s">
        <v>20</v>
      </c>
      <c r="F55" s="3" t="n">
        <v>590</v>
      </c>
      <c r="G55" s="2" t="n">
        <v>18</v>
      </c>
      <c r="H55" s="4" t="n">
        <v>0.77</v>
      </c>
      <c r="I55" s="3" t="n">
        <f aca="false">IF(G55="","",ROUND(F55*(100-G55)/100,0))</f>
        <v>484</v>
      </c>
      <c r="J55" s="2" t="str">
        <f aca="false">IF(G55="","Needs KD",IF(D55&lt;&gt;"Client","Not a buyer",IF(AND(G55&lt;=25,F55&gt;=500),"P1 Quick Win",IF(AND(G55&lt;=35,F55&gt;=200),"P2 High Value",IF(G55&lt;=50,"P3 Build","P4 Long Term")))))</f>
        <v>P1 Quick Win</v>
      </c>
      <c r="K55" s="2" t="s">
        <v>41</v>
      </c>
      <c r="L55" s="2" t="s">
        <v>18</v>
      </c>
      <c r="M55" s="2"/>
    </row>
    <row r="56" customFormat="false" ht="15" hidden="false" customHeight="false" outlineLevel="0" collapsed="false">
      <c r="A56" s="2" t="n">
        <v>55</v>
      </c>
      <c r="B56" s="2" t="s">
        <v>90</v>
      </c>
      <c r="C56" s="2" t="s">
        <v>14</v>
      </c>
      <c r="D56" s="2" t="s">
        <v>15</v>
      </c>
      <c r="E56" s="2" t="s">
        <v>20</v>
      </c>
      <c r="F56" s="3" t="n">
        <v>590</v>
      </c>
      <c r="G56" s="2" t="n">
        <v>41</v>
      </c>
      <c r="H56" s="4" t="n">
        <v>0.06</v>
      </c>
      <c r="I56" s="3" t="n">
        <f aca="false">IF(G56="","",ROUND(F56*(100-G56)/100,0))</f>
        <v>348</v>
      </c>
      <c r="J56" s="2" t="str">
        <f aca="false">IF(G56="","Needs KD",IF(D56&lt;&gt;"Client","Not a buyer",IF(AND(G56&lt;=25,F56&gt;=500),"P1 Quick Win",IF(AND(G56&lt;=35,F56&gt;=200),"P2 High Value",IF(G56&lt;=50,"P3 Build","P4 Long Term")))))</f>
        <v>P3 Build</v>
      </c>
      <c r="K56" s="2" t="s">
        <v>17</v>
      </c>
      <c r="L56" s="2" t="s">
        <v>18</v>
      </c>
      <c r="M56" s="2"/>
    </row>
    <row r="57" customFormat="false" ht="15" hidden="false" customHeight="false" outlineLevel="0" collapsed="false">
      <c r="A57" s="2" t="n">
        <v>56</v>
      </c>
      <c r="B57" s="2" t="s">
        <v>91</v>
      </c>
      <c r="C57" s="2" t="s">
        <v>14</v>
      </c>
      <c r="D57" s="2" t="s">
        <v>15</v>
      </c>
      <c r="E57" s="2" t="s">
        <v>20</v>
      </c>
      <c r="F57" s="3" t="n">
        <v>590</v>
      </c>
      <c r="G57" s="2" t="n">
        <v>32</v>
      </c>
      <c r="H57" s="4" t="n">
        <v>0.21</v>
      </c>
      <c r="I57" s="3" t="n">
        <f aca="false">IF(G57="","",ROUND(F57*(100-G57)/100,0))</f>
        <v>401</v>
      </c>
      <c r="J57" s="2" t="str">
        <f aca="false">IF(G57="","Needs KD",IF(D57&lt;&gt;"Client","Not a buyer",IF(AND(G57&lt;=25,F57&gt;=500),"P1 Quick Win",IF(AND(G57&lt;=35,F57&gt;=200),"P2 High Value",IF(G57&lt;=50,"P3 Build","P4 Long Term")))))</f>
        <v>P2 High Value</v>
      </c>
      <c r="K57" s="2" t="s">
        <v>17</v>
      </c>
      <c r="L57" s="2" t="s">
        <v>18</v>
      </c>
      <c r="M57" s="2"/>
    </row>
    <row r="58" customFormat="false" ht="15" hidden="false" customHeight="false" outlineLevel="0" collapsed="false">
      <c r="A58" s="2" t="n">
        <v>57</v>
      </c>
      <c r="B58" s="2" t="s">
        <v>92</v>
      </c>
      <c r="C58" s="2" t="s">
        <v>14</v>
      </c>
      <c r="D58" s="2" t="s">
        <v>15</v>
      </c>
      <c r="E58" s="2" t="s">
        <v>20</v>
      </c>
      <c r="F58" s="3" t="n">
        <v>590</v>
      </c>
      <c r="G58" s="2" t="n">
        <v>55</v>
      </c>
      <c r="H58" s="4" t="n">
        <v>0.09</v>
      </c>
      <c r="I58" s="3" t="n">
        <f aca="false">IF(G58="","",ROUND(F58*(100-G58)/100,0))</f>
        <v>266</v>
      </c>
      <c r="J58" s="2" t="str">
        <f aca="false">IF(G58="","Needs KD",IF(D58&lt;&gt;"Client","Not a buyer",IF(AND(G58&lt;=25,F58&gt;=500),"P1 Quick Win",IF(AND(G58&lt;=35,F58&gt;=200),"P2 High Value",IF(G58&lt;=50,"P3 Build","P4 Long Term")))))</f>
        <v>P4 Long Term</v>
      </c>
      <c r="K58" s="2" t="s">
        <v>17</v>
      </c>
      <c r="L58" s="2" t="s">
        <v>18</v>
      </c>
      <c r="M58" s="2"/>
    </row>
    <row r="59" customFormat="false" ht="15" hidden="false" customHeight="false" outlineLevel="0" collapsed="false">
      <c r="A59" s="5" t="n">
        <v>58</v>
      </c>
      <c r="B59" s="5" t="s">
        <v>93</v>
      </c>
      <c r="C59" s="5" t="s">
        <v>14</v>
      </c>
      <c r="D59" s="5" t="s">
        <v>62</v>
      </c>
      <c r="E59" s="5" t="s">
        <v>20</v>
      </c>
      <c r="F59" s="6" t="n">
        <v>590</v>
      </c>
      <c r="G59" s="5" t="n">
        <v>21</v>
      </c>
      <c r="H59" s="7" t="n">
        <v>1</v>
      </c>
      <c r="I59" s="6" t="n">
        <f aca="false">IF(G59="","",ROUND(F59*(100-G59)/100,0))</f>
        <v>466</v>
      </c>
      <c r="J59" s="5" t="str">
        <f aca="false">IF(G59="","Needs KD",IF(D59&lt;&gt;"Client","Not a buyer",IF(AND(G59&lt;=25,F59&gt;=500),"P1 Quick Win",IF(AND(G59&lt;=35,F59&gt;=200),"P2 High Value",IF(G59&lt;=50,"P3 Build","P4 Long Term")))))</f>
        <v>Not a buyer</v>
      </c>
      <c r="K59" s="5" t="s">
        <v>63</v>
      </c>
      <c r="L59" s="5" t="s">
        <v>18</v>
      </c>
      <c r="M59" s="5"/>
    </row>
    <row r="60" customFormat="false" ht="15" hidden="false" customHeight="false" outlineLevel="0" collapsed="false">
      <c r="A60" s="2" t="n">
        <v>59</v>
      </c>
      <c r="B60" s="2" t="s">
        <v>94</v>
      </c>
      <c r="C60" s="2" t="s">
        <v>14</v>
      </c>
      <c r="D60" s="2" t="s">
        <v>15</v>
      </c>
      <c r="E60" s="2" t="s">
        <v>44</v>
      </c>
      <c r="F60" s="3" t="n">
        <v>590</v>
      </c>
      <c r="G60" s="2" t="n">
        <v>28</v>
      </c>
      <c r="H60" s="4" t="n">
        <v>0.71</v>
      </c>
      <c r="I60" s="3" t="n">
        <f aca="false">IF(G60="","",ROUND(F60*(100-G60)/100,0))</f>
        <v>425</v>
      </c>
      <c r="J60" s="2" t="str">
        <f aca="false">IF(G60="","Needs KD",IF(D60&lt;&gt;"Client","Not a buyer",IF(AND(G60&lt;=25,F60&gt;=500),"P1 Quick Win",IF(AND(G60&lt;=35,F60&gt;=200),"P2 High Value",IF(G60&lt;=50,"P3 Build","P4 Long Term")))))</f>
        <v>P2 High Value</v>
      </c>
      <c r="K60" s="2" t="s">
        <v>45</v>
      </c>
      <c r="L60" s="2" t="s">
        <v>18</v>
      </c>
      <c r="M60" s="2"/>
    </row>
    <row r="61" customFormat="false" ht="15" hidden="false" customHeight="false" outlineLevel="0" collapsed="false">
      <c r="A61" s="2" t="n">
        <v>60</v>
      </c>
      <c r="B61" s="2" t="s">
        <v>95</v>
      </c>
      <c r="C61" s="2" t="s">
        <v>14</v>
      </c>
      <c r="D61" s="2" t="s">
        <v>15</v>
      </c>
      <c r="E61" s="2" t="s">
        <v>20</v>
      </c>
      <c r="F61" s="3" t="n">
        <v>480</v>
      </c>
      <c r="G61" s="2" t="n">
        <v>23</v>
      </c>
      <c r="H61" s="4" t="n">
        <v>0</v>
      </c>
      <c r="I61" s="3" t="n">
        <f aca="false">IF(G61="","",ROUND(F61*(100-G61)/100,0))</f>
        <v>370</v>
      </c>
      <c r="J61" s="2" t="str">
        <f aca="false">IF(G61="","Needs KD",IF(D61&lt;&gt;"Client","Not a buyer",IF(AND(G61&lt;=25,F61&gt;=500),"P1 Quick Win",IF(AND(G61&lt;=35,F61&gt;=200),"P2 High Value",IF(G61&lt;=50,"P3 Build","P4 Long Term")))))</f>
        <v>P2 High Value</v>
      </c>
      <c r="K61" s="2" t="s">
        <v>23</v>
      </c>
      <c r="L61" s="2" t="s">
        <v>18</v>
      </c>
      <c r="M61" s="2"/>
    </row>
    <row r="62" customFormat="false" ht="15" hidden="false" customHeight="false" outlineLevel="0" collapsed="false">
      <c r="A62" s="2" t="n">
        <v>61</v>
      </c>
      <c r="B62" s="2" t="s">
        <v>96</v>
      </c>
      <c r="C62" s="2" t="s">
        <v>14</v>
      </c>
      <c r="D62" s="2" t="s">
        <v>15</v>
      </c>
      <c r="E62" s="2" t="s">
        <v>20</v>
      </c>
      <c r="F62" s="3" t="n">
        <v>480</v>
      </c>
      <c r="G62" s="2" t="n">
        <v>47</v>
      </c>
      <c r="H62" s="4" t="n">
        <v>0.33</v>
      </c>
      <c r="I62" s="3" t="n">
        <f aca="false">IF(G62="","",ROUND(F62*(100-G62)/100,0))</f>
        <v>254</v>
      </c>
      <c r="J62" s="2" t="str">
        <f aca="false">IF(G62="","Needs KD",IF(D62&lt;&gt;"Client","Not a buyer",IF(AND(G62&lt;=25,F62&gt;=500),"P1 Quick Win",IF(AND(G62&lt;=35,F62&gt;=200),"P2 High Value",IF(G62&lt;=50,"P3 Build","P4 Long Term")))))</f>
        <v>P3 Build</v>
      </c>
      <c r="K62" s="2" t="s">
        <v>37</v>
      </c>
      <c r="L62" s="2" t="s">
        <v>18</v>
      </c>
      <c r="M62" s="2"/>
    </row>
    <row r="63" customFormat="false" ht="15" hidden="false" customHeight="false" outlineLevel="0" collapsed="false">
      <c r="A63" s="2" t="n">
        <v>62</v>
      </c>
      <c r="B63" s="2" t="s">
        <v>97</v>
      </c>
      <c r="C63" s="2" t="s">
        <v>14</v>
      </c>
      <c r="D63" s="2" t="s">
        <v>15</v>
      </c>
      <c r="E63" s="2" t="s">
        <v>20</v>
      </c>
      <c r="F63" s="3" t="n">
        <v>480</v>
      </c>
      <c r="G63" s="2" t="n">
        <v>26</v>
      </c>
      <c r="H63" s="4" t="n">
        <v>0.14</v>
      </c>
      <c r="I63" s="3" t="n">
        <f aca="false">IF(G63="","",ROUND(F63*(100-G63)/100,0))</f>
        <v>355</v>
      </c>
      <c r="J63" s="2" t="str">
        <f aca="false">IF(G63="","Needs KD",IF(D63&lt;&gt;"Client","Not a buyer",IF(AND(G63&lt;=25,F63&gt;=500),"P1 Quick Win",IF(AND(G63&lt;=35,F63&gt;=200),"P2 High Value",IF(G63&lt;=50,"P3 Build","P4 Long Term")))))</f>
        <v>P2 High Value</v>
      </c>
      <c r="K63" s="2" t="s">
        <v>41</v>
      </c>
      <c r="L63" s="2" t="s">
        <v>18</v>
      </c>
      <c r="M63" s="2"/>
    </row>
    <row r="64" customFormat="false" ht="15" hidden="false" customHeight="false" outlineLevel="0" collapsed="false">
      <c r="A64" s="2" t="n">
        <v>63</v>
      </c>
      <c r="B64" s="2" t="s">
        <v>98</v>
      </c>
      <c r="C64" s="2" t="s">
        <v>14</v>
      </c>
      <c r="D64" s="2" t="s">
        <v>15</v>
      </c>
      <c r="E64" s="2" t="s">
        <v>20</v>
      </c>
      <c r="F64" s="3" t="n">
        <v>480</v>
      </c>
      <c r="G64" s="2" t="n">
        <v>26</v>
      </c>
      <c r="H64" s="4" t="n">
        <v>0</v>
      </c>
      <c r="I64" s="3" t="n">
        <f aca="false">IF(G64="","",ROUND(F64*(100-G64)/100,0))</f>
        <v>355</v>
      </c>
      <c r="J64" s="2" t="str">
        <f aca="false">IF(G64="","Needs KD",IF(D64&lt;&gt;"Client","Not a buyer",IF(AND(G64&lt;=25,F64&gt;=500),"P1 Quick Win",IF(AND(G64&lt;=35,F64&gt;=200),"P2 High Value",IF(G64&lt;=50,"P3 Build","P4 Long Term")))))</f>
        <v>P2 High Value</v>
      </c>
      <c r="K64" s="2" t="s">
        <v>41</v>
      </c>
      <c r="L64" s="2" t="s">
        <v>18</v>
      </c>
      <c r="M64" s="2"/>
    </row>
    <row r="65" customFormat="false" ht="15" hidden="false" customHeight="false" outlineLevel="0" collapsed="false">
      <c r="A65" s="2" t="n">
        <v>64</v>
      </c>
      <c r="B65" s="2" t="s">
        <v>99</v>
      </c>
      <c r="C65" s="2" t="s">
        <v>14</v>
      </c>
      <c r="D65" s="2" t="s">
        <v>15</v>
      </c>
      <c r="E65" s="2" t="s">
        <v>20</v>
      </c>
      <c r="F65" s="3" t="n">
        <v>480</v>
      </c>
      <c r="G65" s="2" t="n">
        <v>65</v>
      </c>
      <c r="H65" s="4" t="n">
        <v>0.31</v>
      </c>
      <c r="I65" s="3" t="n">
        <f aca="false">IF(G65="","",ROUND(F65*(100-G65)/100,0))</f>
        <v>168</v>
      </c>
      <c r="J65" s="2" t="str">
        <f aca="false">IF(G65="","Needs KD",IF(D65&lt;&gt;"Client","Not a buyer",IF(AND(G65&lt;=25,F65&gt;=500),"P1 Quick Win",IF(AND(G65&lt;=35,F65&gt;=200),"P2 High Value",IF(G65&lt;=50,"P3 Build","P4 Long Term")))))</f>
        <v>P4 Long Term</v>
      </c>
      <c r="K65" s="2" t="s">
        <v>17</v>
      </c>
      <c r="L65" s="2" t="s">
        <v>18</v>
      </c>
      <c r="M65" s="2"/>
    </row>
    <row r="66" customFormat="false" ht="15" hidden="false" customHeight="false" outlineLevel="0" collapsed="false">
      <c r="A66" s="2" t="n">
        <v>65</v>
      </c>
      <c r="B66" s="2" t="s">
        <v>100</v>
      </c>
      <c r="C66" s="2" t="s">
        <v>14</v>
      </c>
      <c r="D66" s="2" t="s">
        <v>15</v>
      </c>
      <c r="E66" s="2" t="s">
        <v>39</v>
      </c>
      <c r="F66" s="3" t="n">
        <v>480</v>
      </c>
      <c r="G66" s="2" t="n">
        <v>21</v>
      </c>
      <c r="H66" s="4" t="n">
        <v>0.69</v>
      </c>
      <c r="I66" s="3" t="n">
        <f aca="false">IF(G66="","",ROUND(F66*(100-G66)/100,0))</f>
        <v>379</v>
      </c>
      <c r="J66" s="2" t="str">
        <f aca="false">IF(G66="","Needs KD",IF(D66&lt;&gt;"Client","Not a buyer",IF(AND(G66&lt;=25,F66&gt;=500),"P1 Quick Win",IF(AND(G66&lt;=35,F66&gt;=200),"P2 High Value",IF(G66&lt;=50,"P3 Build","P4 Long Term")))))</f>
        <v>P2 High Value</v>
      </c>
      <c r="K66" s="2" t="s">
        <v>45</v>
      </c>
      <c r="L66" s="2" t="s">
        <v>18</v>
      </c>
      <c r="M66" s="2"/>
    </row>
    <row r="67" customFormat="false" ht="15" hidden="false" customHeight="false" outlineLevel="0" collapsed="false">
      <c r="A67" s="2" t="n">
        <v>66</v>
      </c>
      <c r="B67" s="2" t="s">
        <v>101</v>
      </c>
      <c r="C67" s="2" t="s">
        <v>14</v>
      </c>
      <c r="D67" s="2" t="s">
        <v>15</v>
      </c>
      <c r="E67" s="2" t="s">
        <v>53</v>
      </c>
      <c r="F67" s="3" t="n">
        <v>480</v>
      </c>
      <c r="G67" s="2" t="n">
        <v>20</v>
      </c>
      <c r="H67" s="4" t="n">
        <v>0.51</v>
      </c>
      <c r="I67" s="3" t="n">
        <f aca="false">IF(G67="","",ROUND(F67*(100-G67)/100,0))</f>
        <v>384</v>
      </c>
      <c r="J67" s="2" t="str">
        <f aca="false">IF(G67="","Needs KD",IF(D67&lt;&gt;"Client","Not a buyer",IF(AND(G67&lt;=25,F67&gt;=500),"P1 Quick Win",IF(AND(G67&lt;=35,F67&gt;=200),"P2 High Value",IF(G67&lt;=50,"P3 Build","P4 Long Term")))))</f>
        <v>P2 High Value</v>
      </c>
      <c r="K67" s="2" t="s">
        <v>45</v>
      </c>
      <c r="L67" s="2" t="s">
        <v>18</v>
      </c>
      <c r="M67" s="2"/>
    </row>
    <row r="68" customFormat="false" ht="15" hidden="false" customHeight="false" outlineLevel="0" collapsed="false">
      <c r="A68" s="5" t="n">
        <v>67</v>
      </c>
      <c r="B68" s="5" t="s">
        <v>102</v>
      </c>
      <c r="C68" s="5" t="s">
        <v>14</v>
      </c>
      <c r="D68" s="5" t="s">
        <v>73</v>
      </c>
      <c r="E68" s="5" t="s">
        <v>20</v>
      </c>
      <c r="F68" s="6" t="n">
        <v>480</v>
      </c>
      <c r="G68" s="5" t="n">
        <v>14</v>
      </c>
      <c r="H68" s="7" t="n">
        <v>0</v>
      </c>
      <c r="I68" s="6" t="n">
        <f aca="false">IF(G68="","",ROUND(F68*(100-G68)/100,0))</f>
        <v>413</v>
      </c>
      <c r="J68" s="5" t="str">
        <f aca="false">IF(G68="","Needs KD",IF(D68&lt;&gt;"Client","Not a buyer",IF(AND(G68&lt;=25,F68&gt;=500),"P1 Quick Win",IF(AND(G68&lt;=35,F68&gt;=200),"P2 High Value",IF(G68&lt;=50,"P3 Build","P4 Long Term")))))</f>
        <v>Not a buyer</v>
      </c>
      <c r="K68" s="5" t="s">
        <v>103</v>
      </c>
      <c r="L68" s="5" t="s">
        <v>18</v>
      </c>
      <c r="M68" s="5"/>
    </row>
    <row r="69" customFormat="false" ht="15" hidden="false" customHeight="false" outlineLevel="0" collapsed="false">
      <c r="A69" s="2" t="n">
        <v>68</v>
      </c>
      <c r="B69" s="2" t="s">
        <v>104</v>
      </c>
      <c r="C69" s="2" t="s">
        <v>14</v>
      </c>
      <c r="D69" s="2" t="s">
        <v>15</v>
      </c>
      <c r="E69" s="2" t="s">
        <v>20</v>
      </c>
      <c r="F69" s="3" t="n">
        <v>390</v>
      </c>
      <c r="G69" s="2" t="n">
        <v>13</v>
      </c>
      <c r="H69" s="4" t="n">
        <v>0</v>
      </c>
      <c r="I69" s="3" t="n">
        <f aca="false">IF(G69="","",ROUND(F69*(100-G69)/100,0))</f>
        <v>339</v>
      </c>
      <c r="J69" s="2" t="str">
        <f aca="false">IF(G69="","Needs KD",IF(D69&lt;&gt;"Client","Not a buyer",IF(AND(G69&lt;=25,F69&gt;=500),"P1 Quick Win",IF(AND(G69&lt;=35,F69&gt;=200),"P2 High Value",IF(G69&lt;=50,"P3 Build","P4 Long Term")))))</f>
        <v>P2 High Value</v>
      </c>
      <c r="K69" s="2" t="s">
        <v>23</v>
      </c>
      <c r="L69" s="2" t="s">
        <v>18</v>
      </c>
      <c r="M69" s="2"/>
    </row>
    <row r="70" customFormat="false" ht="15" hidden="false" customHeight="false" outlineLevel="0" collapsed="false">
      <c r="A70" s="2" t="n">
        <v>69</v>
      </c>
      <c r="B70" s="2" t="s">
        <v>105</v>
      </c>
      <c r="C70" s="2" t="s">
        <v>14</v>
      </c>
      <c r="D70" s="2" t="s">
        <v>15</v>
      </c>
      <c r="E70" s="2" t="s">
        <v>20</v>
      </c>
      <c r="F70" s="3" t="n">
        <v>390</v>
      </c>
      <c r="G70" s="2" t="n">
        <v>14</v>
      </c>
      <c r="H70" s="4" t="n">
        <v>0</v>
      </c>
      <c r="I70" s="3" t="n">
        <f aca="false">IF(G70="","",ROUND(F70*(100-G70)/100,0))</f>
        <v>335</v>
      </c>
      <c r="J70" s="2" t="str">
        <f aca="false">IF(G70="","Needs KD",IF(D70&lt;&gt;"Client","Not a buyer",IF(AND(G70&lt;=25,F70&gt;=500),"P1 Quick Win",IF(AND(G70&lt;=35,F70&gt;=200),"P2 High Value",IF(G70&lt;=50,"P3 Build","P4 Long Term")))))</f>
        <v>P2 High Value</v>
      </c>
      <c r="K70" s="2" t="s">
        <v>23</v>
      </c>
      <c r="L70" s="2" t="s">
        <v>18</v>
      </c>
      <c r="M70" s="2"/>
    </row>
    <row r="71" customFormat="false" ht="15" hidden="false" customHeight="false" outlineLevel="0" collapsed="false">
      <c r="A71" s="2" t="n">
        <v>70</v>
      </c>
      <c r="B71" s="2" t="s">
        <v>106</v>
      </c>
      <c r="C71" s="2" t="s">
        <v>14</v>
      </c>
      <c r="D71" s="2" t="s">
        <v>15</v>
      </c>
      <c r="E71" s="2" t="s">
        <v>20</v>
      </c>
      <c r="F71" s="3" t="n">
        <v>390</v>
      </c>
      <c r="G71" s="2" t="n">
        <v>30</v>
      </c>
      <c r="H71" s="4" t="n">
        <v>1.85</v>
      </c>
      <c r="I71" s="3" t="n">
        <f aca="false">IF(G71="","",ROUND(F71*(100-G71)/100,0))</f>
        <v>273</v>
      </c>
      <c r="J71" s="2" t="str">
        <f aca="false">IF(G71="","Needs KD",IF(D71&lt;&gt;"Client","Not a buyer",IF(AND(G71&lt;=25,F71&gt;=500),"P1 Quick Win",IF(AND(G71&lt;=35,F71&gt;=200),"P2 High Value",IF(G71&lt;=50,"P3 Build","P4 Long Term")))))</f>
        <v>P2 High Value</v>
      </c>
      <c r="K71" s="2" t="s">
        <v>23</v>
      </c>
      <c r="L71" s="2" t="s">
        <v>18</v>
      </c>
      <c r="M71" s="2"/>
    </row>
    <row r="72" customFormat="false" ht="15" hidden="false" customHeight="false" outlineLevel="0" collapsed="false">
      <c r="A72" s="2" t="n">
        <v>71</v>
      </c>
      <c r="B72" s="2" t="s">
        <v>107</v>
      </c>
      <c r="C72" s="2" t="s">
        <v>14</v>
      </c>
      <c r="D72" s="2" t="s">
        <v>15</v>
      </c>
      <c r="E72" s="2" t="s">
        <v>20</v>
      </c>
      <c r="F72" s="3" t="n">
        <v>390</v>
      </c>
      <c r="G72" s="2" t="n">
        <v>40</v>
      </c>
      <c r="H72" s="4" t="n">
        <v>0</v>
      </c>
      <c r="I72" s="3" t="n">
        <f aca="false">IF(G72="","",ROUND(F72*(100-G72)/100,0))</f>
        <v>234</v>
      </c>
      <c r="J72" s="2" t="str">
        <f aca="false">IF(G72="","Needs KD",IF(D72&lt;&gt;"Client","Not a buyer",IF(AND(G72&lt;=25,F72&gt;=500),"P1 Quick Win",IF(AND(G72&lt;=35,F72&gt;=200),"P2 High Value",IF(G72&lt;=50,"P3 Build","P4 Long Term")))))</f>
        <v>P3 Build</v>
      </c>
      <c r="K72" s="2" t="s">
        <v>23</v>
      </c>
      <c r="L72" s="2" t="s">
        <v>18</v>
      </c>
      <c r="M72" s="2"/>
    </row>
    <row r="73" customFormat="false" ht="15" hidden="false" customHeight="false" outlineLevel="0" collapsed="false">
      <c r="A73" s="2" t="n">
        <v>72</v>
      </c>
      <c r="B73" s="2" t="s">
        <v>108</v>
      </c>
      <c r="C73" s="2" t="s">
        <v>14</v>
      </c>
      <c r="D73" s="2" t="s">
        <v>15</v>
      </c>
      <c r="E73" s="2" t="s">
        <v>20</v>
      </c>
      <c r="F73" s="3" t="n">
        <v>390</v>
      </c>
      <c r="G73" s="2" t="n">
        <v>37</v>
      </c>
      <c r="H73" s="4" t="n">
        <v>0</v>
      </c>
      <c r="I73" s="3" t="n">
        <f aca="false">IF(G73="","",ROUND(F73*(100-G73)/100,0))</f>
        <v>246</v>
      </c>
      <c r="J73" s="2" t="str">
        <f aca="false">IF(G73="","Needs KD",IF(D73&lt;&gt;"Client","Not a buyer",IF(AND(G73&lt;=25,F73&gt;=500),"P1 Quick Win",IF(AND(G73&lt;=35,F73&gt;=200),"P2 High Value",IF(G73&lt;=50,"P3 Build","P4 Long Term")))))</f>
        <v>P3 Build</v>
      </c>
      <c r="K73" s="2" t="s">
        <v>23</v>
      </c>
      <c r="L73" s="2" t="s">
        <v>18</v>
      </c>
      <c r="M73" s="2"/>
    </row>
    <row r="74" customFormat="false" ht="15" hidden="false" customHeight="false" outlineLevel="0" collapsed="false">
      <c r="A74" s="2" t="n">
        <v>73</v>
      </c>
      <c r="B74" s="2" t="s">
        <v>109</v>
      </c>
      <c r="C74" s="2" t="s">
        <v>14</v>
      </c>
      <c r="D74" s="2" t="s">
        <v>15</v>
      </c>
      <c r="E74" s="2" t="s">
        <v>20</v>
      </c>
      <c r="F74" s="3" t="n">
        <v>390</v>
      </c>
      <c r="G74" s="2" t="n">
        <v>53</v>
      </c>
      <c r="H74" s="4" t="n">
        <v>0</v>
      </c>
      <c r="I74" s="3" t="n">
        <f aca="false">IF(G74="","",ROUND(F74*(100-G74)/100,0))</f>
        <v>183</v>
      </c>
      <c r="J74" s="2" t="str">
        <f aca="false">IF(G74="","Needs KD",IF(D74&lt;&gt;"Client","Not a buyer",IF(AND(G74&lt;=25,F74&gt;=500),"P1 Quick Win",IF(AND(G74&lt;=35,F74&gt;=200),"P2 High Value",IF(G74&lt;=50,"P3 Build","P4 Long Term")))))</f>
        <v>P4 Long Term</v>
      </c>
      <c r="K74" s="2" t="s">
        <v>23</v>
      </c>
      <c r="L74" s="2" t="s">
        <v>18</v>
      </c>
      <c r="M74" s="2"/>
    </row>
    <row r="75" customFormat="false" ht="15" hidden="false" customHeight="false" outlineLevel="0" collapsed="false">
      <c r="A75" s="2" t="n">
        <v>74</v>
      </c>
      <c r="B75" s="2" t="s">
        <v>110</v>
      </c>
      <c r="C75" s="2" t="s">
        <v>14</v>
      </c>
      <c r="D75" s="2" t="s">
        <v>15</v>
      </c>
      <c r="E75" s="2" t="s">
        <v>53</v>
      </c>
      <c r="F75" s="3" t="n">
        <v>390</v>
      </c>
      <c r="G75" s="2" t="n">
        <v>54</v>
      </c>
      <c r="H75" s="4" t="n">
        <v>0</v>
      </c>
      <c r="I75" s="3" t="n">
        <f aca="false">IF(G75="","",ROUND(F75*(100-G75)/100,0))</f>
        <v>179</v>
      </c>
      <c r="J75" s="2" t="str">
        <f aca="false">IF(G75="","Needs KD",IF(D75&lt;&gt;"Client","Not a buyer",IF(AND(G75&lt;=25,F75&gt;=500),"P1 Quick Win",IF(AND(G75&lt;=35,F75&gt;=200),"P2 High Value",IF(G75&lt;=50,"P3 Build","P4 Long Term")))))</f>
        <v>P4 Long Term</v>
      </c>
      <c r="K75" s="2" t="s">
        <v>23</v>
      </c>
      <c r="L75" s="2" t="s">
        <v>18</v>
      </c>
      <c r="M75" s="2"/>
    </row>
    <row r="76" customFormat="false" ht="15" hidden="false" customHeight="false" outlineLevel="0" collapsed="false">
      <c r="A76" s="2" t="n">
        <v>75</v>
      </c>
      <c r="B76" s="2" t="s">
        <v>111</v>
      </c>
      <c r="C76" s="2" t="s">
        <v>14</v>
      </c>
      <c r="D76" s="2" t="s">
        <v>15</v>
      </c>
      <c r="E76" s="2" t="s">
        <v>20</v>
      </c>
      <c r="F76" s="3" t="n">
        <v>390</v>
      </c>
      <c r="G76" s="2" t="n">
        <v>60</v>
      </c>
      <c r="H76" s="4" t="n">
        <v>0</v>
      </c>
      <c r="I76" s="3" t="n">
        <f aca="false">IF(G76="","",ROUND(F76*(100-G76)/100,0))</f>
        <v>156</v>
      </c>
      <c r="J76" s="2" t="str">
        <f aca="false">IF(G76="","Needs KD",IF(D76&lt;&gt;"Client","Not a buyer",IF(AND(G76&lt;=25,F76&gt;=500),"P1 Quick Win",IF(AND(G76&lt;=35,F76&gt;=200),"P2 High Value",IF(G76&lt;=50,"P3 Build","P4 Long Term")))))</f>
        <v>P4 Long Term</v>
      </c>
      <c r="K76" s="2" t="s">
        <v>23</v>
      </c>
      <c r="L76" s="2" t="s">
        <v>18</v>
      </c>
      <c r="M76" s="2"/>
    </row>
    <row r="77" customFormat="false" ht="15" hidden="false" customHeight="false" outlineLevel="0" collapsed="false">
      <c r="A77" s="2" t="n">
        <v>76</v>
      </c>
      <c r="B77" s="2" t="s">
        <v>112</v>
      </c>
      <c r="C77" s="2" t="s">
        <v>14</v>
      </c>
      <c r="D77" s="2" t="s">
        <v>15</v>
      </c>
      <c r="E77" s="2" t="s">
        <v>20</v>
      </c>
      <c r="F77" s="3" t="n">
        <v>390</v>
      </c>
      <c r="G77" s="2" t="n">
        <v>57</v>
      </c>
      <c r="H77" s="4" t="n">
        <v>0.34</v>
      </c>
      <c r="I77" s="3" t="n">
        <f aca="false">IF(G77="","",ROUND(F77*(100-G77)/100,0))</f>
        <v>168</v>
      </c>
      <c r="J77" s="2" t="str">
        <f aca="false">IF(G77="","Needs KD",IF(D77&lt;&gt;"Client","Not a buyer",IF(AND(G77&lt;=25,F77&gt;=500),"P1 Quick Win",IF(AND(G77&lt;=35,F77&gt;=200),"P2 High Value",IF(G77&lt;=50,"P3 Build","P4 Long Term")))))</f>
        <v>P4 Long Term</v>
      </c>
      <c r="K77" s="2" t="s">
        <v>21</v>
      </c>
      <c r="L77" s="2" t="s">
        <v>18</v>
      </c>
      <c r="M77" s="2"/>
    </row>
    <row r="78" customFormat="false" ht="15" hidden="false" customHeight="false" outlineLevel="0" collapsed="false">
      <c r="A78" s="2" t="n">
        <v>77</v>
      </c>
      <c r="B78" s="2" t="s">
        <v>113</v>
      </c>
      <c r="C78" s="2" t="s">
        <v>14</v>
      </c>
      <c r="D78" s="2" t="s">
        <v>15</v>
      </c>
      <c r="E78" s="2" t="s">
        <v>20</v>
      </c>
      <c r="F78" s="3" t="n">
        <v>390</v>
      </c>
      <c r="G78" s="2" t="n">
        <v>38</v>
      </c>
      <c r="H78" s="4" t="n">
        <v>0.07</v>
      </c>
      <c r="I78" s="3" t="n">
        <f aca="false">IF(G78="","",ROUND(F78*(100-G78)/100,0))</f>
        <v>242</v>
      </c>
      <c r="J78" s="2" t="str">
        <f aca="false">IF(G78="","Needs KD",IF(D78&lt;&gt;"Client","Not a buyer",IF(AND(G78&lt;=25,F78&gt;=500),"P1 Quick Win",IF(AND(G78&lt;=35,F78&gt;=200),"P2 High Value",IF(G78&lt;=50,"P3 Build","P4 Long Term")))))</f>
        <v>P3 Build</v>
      </c>
      <c r="K78" s="2" t="s">
        <v>21</v>
      </c>
      <c r="L78" s="2" t="s">
        <v>18</v>
      </c>
      <c r="M78" s="2"/>
    </row>
    <row r="79" customFormat="false" ht="15" hidden="false" customHeight="false" outlineLevel="0" collapsed="false">
      <c r="A79" s="2" t="n">
        <v>78</v>
      </c>
      <c r="B79" s="2" t="s">
        <v>114</v>
      </c>
      <c r="C79" s="2" t="s">
        <v>14</v>
      </c>
      <c r="D79" s="2" t="s">
        <v>15</v>
      </c>
      <c r="E79" s="2" t="s">
        <v>20</v>
      </c>
      <c r="F79" s="3" t="n">
        <v>390</v>
      </c>
      <c r="G79" s="2" t="n">
        <v>39</v>
      </c>
      <c r="H79" s="4" t="n">
        <v>0.13</v>
      </c>
      <c r="I79" s="3" t="n">
        <f aca="false">IF(G79="","",ROUND(F79*(100-G79)/100,0))</f>
        <v>238</v>
      </c>
      <c r="J79" s="2" t="str">
        <f aca="false">IF(G79="","Needs KD",IF(D79&lt;&gt;"Client","Not a buyer",IF(AND(G79&lt;=25,F79&gt;=500),"P1 Quick Win",IF(AND(G79&lt;=35,F79&gt;=200),"P2 High Value",IF(G79&lt;=50,"P3 Build","P4 Long Term")))))</f>
        <v>P3 Build</v>
      </c>
      <c r="K79" s="2" t="s">
        <v>21</v>
      </c>
      <c r="L79" s="2" t="s">
        <v>18</v>
      </c>
      <c r="M79" s="2"/>
    </row>
    <row r="80" customFormat="false" ht="15" hidden="false" customHeight="false" outlineLevel="0" collapsed="false">
      <c r="A80" s="2" t="n">
        <v>79</v>
      </c>
      <c r="B80" s="2" t="s">
        <v>115</v>
      </c>
      <c r="C80" s="2" t="s">
        <v>14</v>
      </c>
      <c r="D80" s="2" t="s">
        <v>15</v>
      </c>
      <c r="E80" s="2" t="s">
        <v>20</v>
      </c>
      <c r="F80" s="3" t="n">
        <v>390</v>
      </c>
      <c r="G80" s="2" t="n">
        <v>20</v>
      </c>
      <c r="H80" s="4" t="n">
        <v>0.76</v>
      </c>
      <c r="I80" s="3" t="n">
        <f aca="false">IF(G80="","",ROUND(F80*(100-G80)/100,0))</f>
        <v>312</v>
      </c>
      <c r="J80" s="2" t="str">
        <f aca="false">IF(G80="","Needs KD",IF(D80&lt;&gt;"Client","Not a buyer",IF(AND(G80&lt;=25,F80&gt;=500),"P1 Quick Win",IF(AND(G80&lt;=35,F80&gt;=200),"P2 High Value",IF(G80&lt;=50,"P3 Build","P4 Long Term")))))</f>
        <v>P2 High Value</v>
      </c>
      <c r="K80" s="2" t="s">
        <v>41</v>
      </c>
      <c r="L80" s="2" t="s">
        <v>18</v>
      </c>
      <c r="M80" s="2"/>
    </row>
    <row r="81" customFormat="false" ht="15" hidden="false" customHeight="false" outlineLevel="0" collapsed="false">
      <c r="A81" s="2" t="n">
        <v>80</v>
      </c>
      <c r="B81" s="2" t="s">
        <v>116</v>
      </c>
      <c r="C81" s="2" t="s">
        <v>14</v>
      </c>
      <c r="D81" s="2" t="s">
        <v>15</v>
      </c>
      <c r="E81" s="2" t="s">
        <v>20</v>
      </c>
      <c r="F81" s="3" t="n">
        <v>390</v>
      </c>
      <c r="G81" s="2" t="n">
        <v>28</v>
      </c>
      <c r="H81" s="4" t="n">
        <v>0</v>
      </c>
      <c r="I81" s="3" t="n">
        <f aca="false">IF(G81="","",ROUND(F81*(100-G81)/100,0))</f>
        <v>281</v>
      </c>
      <c r="J81" s="2" t="str">
        <f aca="false">IF(G81="","Needs KD",IF(D81&lt;&gt;"Client","Not a buyer",IF(AND(G81&lt;=25,F81&gt;=500),"P1 Quick Win",IF(AND(G81&lt;=35,F81&gt;=200),"P2 High Value",IF(G81&lt;=50,"P3 Build","P4 Long Term")))))</f>
        <v>P2 High Value</v>
      </c>
      <c r="K81" s="2" t="s">
        <v>17</v>
      </c>
      <c r="L81" s="2" t="s">
        <v>18</v>
      </c>
      <c r="M81" s="2"/>
    </row>
    <row r="82" customFormat="false" ht="15" hidden="false" customHeight="false" outlineLevel="0" collapsed="false">
      <c r="A82" s="2" t="n">
        <v>81</v>
      </c>
      <c r="B82" s="2" t="s">
        <v>117</v>
      </c>
      <c r="C82" s="2" t="s">
        <v>14</v>
      </c>
      <c r="D82" s="2" t="s">
        <v>15</v>
      </c>
      <c r="E82" s="2" t="s">
        <v>20</v>
      </c>
      <c r="F82" s="3" t="n">
        <v>390</v>
      </c>
      <c r="G82" s="2" t="n">
        <v>68</v>
      </c>
      <c r="H82" s="4" t="n">
        <v>0.19</v>
      </c>
      <c r="I82" s="3" t="n">
        <f aca="false">IF(G82="","",ROUND(F82*(100-G82)/100,0))</f>
        <v>125</v>
      </c>
      <c r="J82" s="2" t="str">
        <f aca="false">IF(G82="","Needs KD",IF(D82&lt;&gt;"Client","Not a buyer",IF(AND(G82&lt;=25,F82&gt;=500),"P1 Quick Win",IF(AND(G82&lt;=35,F82&gt;=200),"P2 High Value",IF(G82&lt;=50,"P3 Build","P4 Long Term")))))</f>
        <v>P4 Long Term</v>
      </c>
      <c r="K82" s="2" t="s">
        <v>17</v>
      </c>
      <c r="L82" s="2" t="s">
        <v>18</v>
      </c>
      <c r="M82" s="2"/>
    </row>
    <row r="83" customFormat="false" ht="15" hidden="false" customHeight="false" outlineLevel="0" collapsed="false">
      <c r="A83" s="2" t="n">
        <v>82</v>
      </c>
      <c r="B83" s="2" t="s">
        <v>118</v>
      </c>
      <c r="C83" s="2" t="s">
        <v>14</v>
      </c>
      <c r="D83" s="2" t="s">
        <v>15</v>
      </c>
      <c r="E83" s="2" t="s">
        <v>53</v>
      </c>
      <c r="F83" s="3" t="n">
        <v>390</v>
      </c>
      <c r="G83" s="2" t="n">
        <v>29</v>
      </c>
      <c r="H83" s="4" t="n">
        <v>0</v>
      </c>
      <c r="I83" s="3" t="n">
        <f aca="false">IF(G83="","",ROUND(F83*(100-G83)/100,0))</f>
        <v>277</v>
      </c>
      <c r="J83" s="2" t="str">
        <f aca="false">IF(G83="","Needs KD",IF(D83&lt;&gt;"Client","Not a buyer",IF(AND(G83&lt;=25,F83&gt;=500),"P1 Quick Win",IF(AND(G83&lt;=35,F83&gt;=200),"P2 High Value",IF(G83&lt;=50,"P3 Build","P4 Long Term")))))</f>
        <v>P2 High Value</v>
      </c>
      <c r="K83" s="2" t="s">
        <v>63</v>
      </c>
      <c r="L83" s="2" t="s">
        <v>18</v>
      </c>
      <c r="M83" s="2"/>
    </row>
    <row r="84" customFormat="false" ht="15" hidden="false" customHeight="false" outlineLevel="0" collapsed="false">
      <c r="A84" s="2" t="n">
        <v>83</v>
      </c>
      <c r="B84" s="2" t="s">
        <v>119</v>
      </c>
      <c r="C84" s="2" t="s">
        <v>14</v>
      </c>
      <c r="D84" s="2" t="s">
        <v>15</v>
      </c>
      <c r="E84" s="2" t="s">
        <v>20</v>
      </c>
      <c r="F84" s="3" t="n">
        <v>390</v>
      </c>
      <c r="G84" s="2" t="n">
        <v>29</v>
      </c>
      <c r="H84" s="4" t="n">
        <v>0.52</v>
      </c>
      <c r="I84" s="3" t="n">
        <f aca="false">IF(G84="","",ROUND(F84*(100-G84)/100,0))</f>
        <v>277</v>
      </c>
      <c r="J84" s="2" t="str">
        <f aca="false">IF(G84="","Needs KD",IF(D84&lt;&gt;"Client","Not a buyer",IF(AND(G84&lt;=25,F84&gt;=500),"P1 Quick Win",IF(AND(G84&lt;=35,F84&gt;=200),"P2 High Value",IF(G84&lt;=50,"P3 Build","P4 Long Term")))))</f>
        <v>P2 High Value</v>
      </c>
      <c r="K84" s="2" t="s">
        <v>45</v>
      </c>
      <c r="L84" s="2" t="s">
        <v>18</v>
      </c>
      <c r="M84" s="2"/>
    </row>
    <row r="85" customFormat="false" ht="15" hidden="false" customHeight="false" outlineLevel="0" collapsed="false">
      <c r="A85" s="2" t="n">
        <v>84</v>
      </c>
      <c r="B85" s="2" t="s">
        <v>120</v>
      </c>
      <c r="C85" s="2" t="s">
        <v>14</v>
      </c>
      <c r="D85" s="2" t="s">
        <v>15</v>
      </c>
      <c r="E85" s="2" t="s">
        <v>16</v>
      </c>
      <c r="F85" s="3" t="n">
        <v>390</v>
      </c>
      <c r="G85" s="2" t="n">
        <v>60</v>
      </c>
      <c r="H85" s="4" t="n">
        <v>0.29</v>
      </c>
      <c r="I85" s="3" t="n">
        <f aca="false">IF(G85="","",ROUND(F85*(100-G85)/100,0))</f>
        <v>156</v>
      </c>
      <c r="J85" s="2" t="str">
        <f aca="false">IF(G85="","Needs KD",IF(D85&lt;&gt;"Client","Not a buyer",IF(AND(G85&lt;=25,F85&gt;=500),"P1 Quick Win",IF(AND(G85&lt;=35,F85&gt;=200),"P2 High Value",IF(G85&lt;=50,"P3 Build","P4 Long Term")))))</f>
        <v>P4 Long Term</v>
      </c>
      <c r="K85" s="2" t="s">
        <v>83</v>
      </c>
      <c r="L85" s="2" t="s">
        <v>18</v>
      </c>
      <c r="M85" s="2"/>
    </row>
    <row r="86" customFormat="false" ht="15" hidden="false" customHeight="false" outlineLevel="0" collapsed="false">
      <c r="A86" s="2" t="n">
        <v>85</v>
      </c>
      <c r="B86" s="2" t="s">
        <v>121</v>
      </c>
      <c r="C86" s="2" t="s">
        <v>14</v>
      </c>
      <c r="D86" s="2" t="s">
        <v>15</v>
      </c>
      <c r="E86" s="2" t="s">
        <v>20</v>
      </c>
      <c r="F86" s="3" t="n">
        <v>390</v>
      </c>
      <c r="G86" s="2" t="n">
        <v>51</v>
      </c>
      <c r="H86" s="4" t="n">
        <v>0.25</v>
      </c>
      <c r="I86" s="3" t="n">
        <f aca="false">IF(G86="","",ROUND(F86*(100-G86)/100,0))</f>
        <v>191</v>
      </c>
      <c r="J86" s="2" t="str">
        <f aca="false">IF(G86="","Needs KD",IF(D86&lt;&gt;"Client","Not a buyer",IF(AND(G86&lt;=25,F86&gt;=500),"P1 Quick Win",IF(AND(G86&lt;=35,F86&gt;=200),"P2 High Value",IF(G86&lt;=50,"P3 Build","P4 Long Term")))))</f>
        <v>P4 Long Term</v>
      </c>
      <c r="K86" s="2" t="s">
        <v>83</v>
      </c>
      <c r="L86" s="2" t="s">
        <v>18</v>
      </c>
      <c r="M86" s="2"/>
    </row>
    <row r="87" customFormat="false" ht="15" hidden="false" customHeight="false" outlineLevel="0" collapsed="false">
      <c r="A87" s="2" t="n">
        <v>86</v>
      </c>
      <c r="B87" s="2" t="s">
        <v>122</v>
      </c>
      <c r="C87" s="2" t="s">
        <v>14</v>
      </c>
      <c r="D87" s="2" t="s">
        <v>15</v>
      </c>
      <c r="E87" s="2" t="s">
        <v>20</v>
      </c>
      <c r="F87" s="3" t="n">
        <v>320</v>
      </c>
      <c r="G87" s="2" t="n">
        <v>22</v>
      </c>
      <c r="H87" s="4" t="n">
        <v>0</v>
      </c>
      <c r="I87" s="3" t="n">
        <f aca="false">IF(G87="","",ROUND(F87*(100-G87)/100,0))</f>
        <v>250</v>
      </c>
      <c r="J87" s="2" t="str">
        <f aca="false">IF(G87="","Needs KD",IF(D87&lt;&gt;"Client","Not a buyer",IF(AND(G87&lt;=25,F87&gt;=500),"P1 Quick Win",IF(AND(G87&lt;=35,F87&gt;=200),"P2 High Value",IF(G87&lt;=50,"P3 Build","P4 Long Term")))))</f>
        <v>P2 High Value</v>
      </c>
      <c r="K87" s="2" t="s">
        <v>25</v>
      </c>
      <c r="L87" s="2" t="s">
        <v>18</v>
      </c>
      <c r="M87" s="2"/>
    </row>
    <row r="88" customFormat="false" ht="15" hidden="false" customHeight="false" outlineLevel="0" collapsed="false">
      <c r="A88" s="2" t="n">
        <v>87</v>
      </c>
      <c r="B88" s="2" t="s">
        <v>123</v>
      </c>
      <c r="C88" s="2" t="s">
        <v>14</v>
      </c>
      <c r="D88" s="2" t="s">
        <v>15</v>
      </c>
      <c r="E88" s="2" t="s">
        <v>20</v>
      </c>
      <c r="F88" s="3" t="n">
        <v>320</v>
      </c>
      <c r="G88" s="2" t="n">
        <v>13</v>
      </c>
      <c r="H88" s="4" t="n">
        <v>0</v>
      </c>
      <c r="I88" s="3" t="n">
        <f aca="false">IF(G88="","",ROUND(F88*(100-G88)/100,0))</f>
        <v>278</v>
      </c>
      <c r="J88" s="2" t="str">
        <f aca="false">IF(G88="","Needs KD",IF(D88&lt;&gt;"Client","Not a buyer",IF(AND(G88&lt;=25,F88&gt;=500),"P1 Quick Win",IF(AND(G88&lt;=35,F88&gt;=200),"P2 High Value",IF(G88&lt;=50,"P3 Build","P4 Long Term")))))</f>
        <v>P2 High Value</v>
      </c>
      <c r="K88" s="2" t="s">
        <v>25</v>
      </c>
      <c r="L88" s="2" t="s">
        <v>18</v>
      </c>
      <c r="M88" s="2"/>
    </row>
    <row r="89" customFormat="false" ht="15" hidden="false" customHeight="false" outlineLevel="0" collapsed="false">
      <c r="A89" s="2" t="n">
        <v>88</v>
      </c>
      <c r="B89" s="2" t="s">
        <v>124</v>
      </c>
      <c r="C89" s="2" t="s">
        <v>14</v>
      </c>
      <c r="D89" s="2" t="s">
        <v>15</v>
      </c>
      <c r="E89" s="2" t="s">
        <v>20</v>
      </c>
      <c r="F89" s="3" t="n">
        <v>320</v>
      </c>
      <c r="G89" s="2" t="n">
        <v>20</v>
      </c>
      <c r="H89" s="4" t="n">
        <v>0</v>
      </c>
      <c r="I89" s="3" t="n">
        <f aca="false">IF(G89="","",ROUND(F89*(100-G89)/100,0))</f>
        <v>256</v>
      </c>
      <c r="J89" s="2" t="str">
        <f aca="false">IF(G89="","Needs KD",IF(D89&lt;&gt;"Client","Not a buyer",IF(AND(G89&lt;=25,F89&gt;=500),"P1 Quick Win",IF(AND(G89&lt;=35,F89&gt;=200),"P2 High Value",IF(G89&lt;=50,"P3 Build","P4 Long Term")))))</f>
        <v>P2 High Value</v>
      </c>
      <c r="K89" s="2" t="s">
        <v>23</v>
      </c>
      <c r="L89" s="2" t="s">
        <v>18</v>
      </c>
      <c r="M89" s="2"/>
    </row>
    <row r="90" customFormat="false" ht="15" hidden="false" customHeight="false" outlineLevel="0" collapsed="false">
      <c r="A90" s="2" t="n">
        <v>89</v>
      </c>
      <c r="B90" s="2" t="s">
        <v>125</v>
      </c>
      <c r="C90" s="2" t="s">
        <v>14</v>
      </c>
      <c r="D90" s="2" t="s">
        <v>15</v>
      </c>
      <c r="E90" s="2" t="s">
        <v>53</v>
      </c>
      <c r="F90" s="3" t="n">
        <v>320</v>
      </c>
      <c r="G90" s="2" t="n">
        <v>21</v>
      </c>
      <c r="H90" s="4" t="n">
        <v>0</v>
      </c>
      <c r="I90" s="3" t="n">
        <f aca="false">IF(G90="","",ROUND(F90*(100-G90)/100,0))</f>
        <v>253</v>
      </c>
      <c r="J90" s="2" t="str">
        <f aca="false">IF(G90="","Needs KD",IF(D90&lt;&gt;"Client","Not a buyer",IF(AND(G90&lt;=25,F90&gt;=500),"P1 Quick Win",IF(AND(G90&lt;=35,F90&gt;=200),"P2 High Value",IF(G90&lt;=50,"P3 Build","P4 Long Term")))))</f>
        <v>P2 High Value</v>
      </c>
      <c r="K90" s="2" t="s">
        <v>23</v>
      </c>
      <c r="L90" s="2" t="s">
        <v>18</v>
      </c>
      <c r="M90" s="2"/>
    </row>
    <row r="91" customFormat="false" ht="15" hidden="false" customHeight="false" outlineLevel="0" collapsed="false">
      <c r="A91" s="2" t="n">
        <v>90</v>
      </c>
      <c r="B91" s="2" t="s">
        <v>126</v>
      </c>
      <c r="C91" s="2" t="s">
        <v>14</v>
      </c>
      <c r="D91" s="2" t="s">
        <v>15</v>
      </c>
      <c r="E91" s="2" t="s">
        <v>53</v>
      </c>
      <c r="F91" s="3" t="n">
        <v>320</v>
      </c>
      <c r="G91" s="2" t="n">
        <v>44</v>
      </c>
      <c r="H91" s="4" t="n">
        <v>0</v>
      </c>
      <c r="I91" s="3" t="n">
        <f aca="false">IF(G91="","",ROUND(F91*(100-G91)/100,0))</f>
        <v>179</v>
      </c>
      <c r="J91" s="2" t="str">
        <f aca="false">IF(G91="","Needs KD",IF(D91&lt;&gt;"Client","Not a buyer",IF(AND(G91&lt;=25,F91&gt;=500),"P1 Quick Win",IF(AND(G91&lt;=35,F91&gt;=200),"P2 High Value",IF(G91&lt;=50,"P3 Build","P4 Long Term")))))</f>
        <v>P3 Build</v>
      </c>
      <c r="K91" s="2" t="s">
        <v>23</v>
      </c>
      <c r="L91" s="2" t="s">
        <v>18</v>
      </c>
      <c r="M91" s="2"/>
    </row>
    <row r="92" customFormat="false" ht="15" hidden="false" customHeight="false" outlineLevel="0" collapsed="false">
      <c r="A92" s="2" t="n">
        <v>91</v>
      </c>
      <c r="B92" s="2" t="s">
        <v>127</v>
      </c>
      <c r="C92" s="2" t="s">
        <v>14</v>
      </c>
      <c r="D92" s="2" t="s">
        <v>15</v>
      </c>
      <c r="E92" s="2" t="s">
        <v>20</v>
      </c>
      <c r="F92" s="3" t="n">
        <v>320</v>
      </c>
      <c r="G92" s="2" t="n">
        <v>53</v>
      </c>
      <c r="H92" s="4" t="n">
        <v>1.21</v>
      </c>
      <c r="I92" s="3" t="n">
        <f aca="false">IF(G92="","",ROUND(F92*(100-G92)/100,0))</f>
        <v>150</v>
      </c>
      <c r="J92" s="2" t="str">
        <f aca="false">IF(G92="","Needs KD",IF(D92&lt;&gt;"Client","Not a buyer",IF(AND(G92&lt;=25,F92&gt;=500),"P1 Quick Win",IF(AND(G92&lt;=35,F92&gt;=200),"P2 High Value",IF(G92&lt;=50,"P3 Build","P4 Long Term")))))</f>
        <v>P4 Long Term</v>
      </c>
      <c r="K92" s="2" t="s">
        <v>37</v>
      </c>
      <c r="L92" s="2" t="s">
        <v>18</v>
      </c>
      <c r="M92" s="2"/>
    </row>
    <row r="93" customFormat="false" ht="15" hidden="false" customHeight="false" outlineLevel="0" collapsed="false">
      <c r="A93" s="2" t="n">
        <v>92</v>
      </c>
      <c r="B93" s="2" t="s">
        <v>128</v>
      </c>
      <c r="C93" s="2" t="s">
        <v>14</v>
      </c>
      <c r="D93" s="2" t="s">
        <v>15</v>
      </c>
      <c r="E93" s="2" t="s">
        <v>20</v>
      </c>
      <c r="F93" s="3" t="n">
        <v>320</v>
      </c>
      <c r="G93" s="2" t="n">
        <v>40</v>
      </c>
      <c r="H93" s="4" t="n">
        <v>0.32</v>
      </c>
      <c r="I93" s="3" t="n">
        <f aca="false">IF(G93="","",ROUND(F93*(100-G93)/100,0))</f>
        <v>192</v>
      </c>
      <c r="J93" s="2" t="str">
        <f aca="false">IF(G93="","Needs KD",IF(D93&lt;&gt;"Client","Not a buyer",IF(AND(G93&lt;=25,F93&gt;=500),"P1 Quick Win",IF(AND(G93&lt;=35,F93&gt;=200),"P2 High Value",IF(G93&lt;=50,"P3 Build","P4 Long Term")))))</f>
        <v>P3 Build</v>
      </c>
      <c r="K93" s="2" t="s">
        <v>21</v>
      </c>
      <c r="L93" s="2" t="s">
        <v>18</v>
      </c>
      <c r="M93" s="2"/>
    </row>
    <row r="94" customFormat="false" ht="15" hidden="false" customHeight="false" outlineLevel="0" collapsed="false">
      <c r="A94" s="2" t="n">
        <v>93</v>
      </c>
      <c r="B94" s="2" t="s">
        <v>129</v>
      </c>
      <c r="C94" s="2" t="s">
        <v>14</v>
      </c>
      <c r="D94" s="2" t="s">
        <v>15</v>
      </c>
      <c r="E94" s="2" t="s">
        <v>20</v>
      </c>
      <c r="F94" s="3" t="n">
        <v>320</v>
      </c>
      <c r="G94" s="2" t="n">
        <v>15</v>
      </c>
      <c r="H94" s="4" t="n">
        <v>0</v>
      </c>
      <c r="I94" s="3" t="n">
        <f aca="false">IF(G94="","",ROUND(F94*(100-G94)/100,0))</f>
        <v>272</v>
      </c>
      <c r="J94" s="2" t="str">
        <f aca="false">IF(G94="","Needs KD",IF(D94&lt;&gt;"Client","Not a buyer",IF(AND(G94&lt;=25,F94&gt;=500),"P1 Quick Win",IF(AND(G94&lt;=35,F94&gt;=200),"P2 High Value",IF(G94&lt;=50,"P3 Build","P4 Long Term")))))</f>
        <v>P2 High Value</v>
      </c>
      <c r="K94" s="2" t="s">
        <v>41</v>
      </c>
      <c r="L94" s="2" t="s">
        <v>18</v>
      </c>
      <c r="M94" s="2"/>
    </row>
    <row r="95" customFormat="false" ht="15" hidden="false" customHeight="false" outlineLevel="0" collapsed="false">
      <c r="A95" s="2" t="n">
        <v>94</v>
      </c>
      <c r="B95" s="2" t="s">
        <v>130</v>
      </c>
      <c r="C95" s="2" t="s">
        <v>14</v>
      </c>
      <c r="D95" s="2" t="s">
        <v>15</v>
      </c>
      <c r="E95" s="2" t="s">
        <v>20</v>
      </c>
      <c r="F95" s="3" t="n">
        <v>320</v>
      </c>
      <c r="G95" s="2" t="n">
        <v>15</v>
      </c>
      <c r="H95" s="4" t="n">
        <v>0.43</v>
      </c>
      <c r="I95" s="3" t="n">
        <f aca="false">IF(G95="","",ROUND(F95*(100-G95)/100,0))</f>
        <v>272</v>
      </c>
      <c r="J95" s="2" t="str">
        <f aca="false">IF(G95="","Needs KD",IF(D95&lt;&gt;"Client","Not a buyer",IF(AND(G95&lt;=25,F95&gt;=500),"P1 Quick Win",IF(AND(G95&lt;=35,F95&gt;=200),"P2 High Value",IF(G95&lt;=50,"P3 Build","P4 Long Term")))))</f>
        <v>P2 High Value</v>
      </c>
      <c r="K95" s="2" t="s">
        <v>41</v>
      </c>
      <c r="L95" s="2" t="s">
        <v>18</v>
      </c>
      <c r="M95" s="2"/>
    </row>
    <row r="96" customFormat="false" ht="15" hidden="false" customHeight="false" outlineLevel="0" collapsed="false">
      <c r="A96" s="2" t="n">
        <v>95</v>
      </c>
      <c r="B96" s="2" t="s">
        <v>131</v>
      </c>
      <c r="C96" s="2" t="s">
        <v>14</v>
      </c>
      <c r="D96" s="2" t="s">
        <v>15</v>
      </c>
      <c r="E96" s="2" t="s">
        <v>20</v>
      </c>
      <c r="F96" s="3" t="n">
        <v>320</v>
      </c>
      <c r="G96" s="2" t="n">
        <v>19</v>
      </c>
      <c r="H96" s="4" t="n">
        <v>0.34</v>
      </c>
      <c r="I96" s="3" t="n">
        <f aca="false">IF(G96="","",ROUND(F96*(100-G96)/100,0))</f>
        <v>259</v>
      </c>
      <c r="J96" s="2" t="str">
        <f aca="false">IF(G96="","Needs KD",IF(D96&lt;&gt;"Client","Not a buyer",IF(AND(G96&lt;=25,F96&gt;=500),"P1 Quick Win",IF(AND(G96&lt;=35,F96&gt;=200),"P2 High Value",IF(G96&lt;=50,"P3 Build","P4 Long Term")))))</f>
        <v>P2 High Value</v>
      </c>
      <c r="K96" s="2" t="s">
        <v>41</v>
      </c>
      <c r="L96" s="2" t="s">
        <v>18</v>
      </c>
      <c r="M96" s="2"/>
    </row>
    <row r="97" customFormat="false" ht="15" hidden="false" customHeight="false" outlineLevel="0" collapsed="false">
      <c r="A97" s="2" t="n">
        <v>96</v>
      </c>
      <c r="B97" s="2" t="s">
        <v>132</v>
      </c>
      <c r="C97" s="2" t="s">
        <v>14</v>
      </c>
      <c r="D97" s="2" t="s">
        <v>15</v>
      </c>
      <c r="E97" s="2" t="s">
        <v>20</v>
      </c>
      <c r="F97" s="3" t="n">
        <v>320</v>
      </c>
      <c r="G97" s="2" t="n">
        <v>18</v>
      </c>
      <c r="H97" s="4" t="n">
        <v>0.31</v>
      </c>
      <c r="I97" s="3" t="n">
        <f aca="false">IF(G97="","",ROUND(F97*(100-G97)/100,0))</f>
        <v>262</v>
      </c>
      <c r="J97" s="2" t="str">
        <f aca="false">IF(G97="","Needs KD",IF(D97&lt;&gt;"Client","Not a buyer",IF(AND(G97&lt;=25,F97&gt;=500),"P1 Quick Win",IF(AND(G97&lt;=35,F97&gt;=200),"P2 High Value",IF(G97&lt;=50,"P3 Build","P4 Long Term")))))</f>
        <v>P2 High Value</v>
      </c>
      <c r="K97" s="2" t="s">
        <v>41</v>
      </c>
      <c r="L97" s="2" t="s">
        <v>18</v>
      </c>
      <c r="M97" s="2"/>
    </row>
    <row r="98" customFormat="false" ht="15" hidden="false" customHeight="false" outlineLevel="0" collapsed="false">
      <c r="A98" s="2" t="n">
        <v>97</v>
      </c>
      <c r="B98" s="2" t="s">
        <v>133</v>
      </c>
      <c r="C98" s="2" t="s">
        <v>14</v>
      </c>
      <c r="D98" s="2" t="s">
        <v>15</v>
      </c>
      <c r="E98" s="2" t="s">
        <v>20</v>
      </c>
      <c r="F98" s="3" t="n">
        <v>320</v>
      </c>
      <c r="G98" s="2" t="n">
        <v>15</v>
      </c>
      <c r="H98" s="4" t="n">
        <v>0.17</v>
      </c>
      <c r="I98" s="3" t="n">
        <f aca="false">IF(G98="","",ROUND(F98*(100-G98)/100,0))</f>
        <v>272</v>
      </c>
      <c r="J98" s="2" t="str">
        <f aca="false">IF(G98="","Needs KD",IF(D98&lt;&gt;"Client","Not a buyer",IF(AND(G98&lt;=25,F98&gt;=500),"P1 Quick Win",IF(AND(G98&lt;=35,F98&gt;=200),"P2 High Value",IF(G98&lt;=50,"P3 Build","P4 Long Term")))))</f>
        <v>P2 High Value</v>
      </c>
      <c r="K98" s="2" t="s">
        <v>41</v>
      </c>
      <c r="L98" s="2" t="s">
        <v>18</v>
      </c>
      <c r="M98" s="2"/>
    </row>
    <row r="99" customFormat="false" ht="15" hidden="false" customHeight="false" outlineLevel="0" collapsed="false">
      <c r="A99" s="2" t="n">
        <v>98</v>
      </c>
      <c r="B99" s="2" t="s">
        <v>134</v>
      </c>
      <c r="C99" s="2" t="s">
        <v>14</v>
      </c>
      <c r="D99" s="2" t="s">
        <v>15</v>
      </c>
      <c r="E99" s="2" t="s">
        <v>20</v>
      </c>
      <c r="F99" s="3" t="n">
        <v>320</v>
      </c>
      <c r="G99" s="2" t="n">
        <v>24</v>
      </c>
      <c r="H99" s="4" t="n">
        <v>0</v>
      </c>
      <c r="I99" s="3" t="n">
        <f aca="false">IF(G99="","",ROUND(F99*(100-G99)/100,0))</f>
        <v>243</v>
      </c>
      <c r="J99" s="2" t="str">
        <f aca="false">IF(G99="","Needs KD",IF(D99&lt;&gt;"Client","Not a buyer",IF(AND(G99&lt;=25,F99&gt;=500),"P1 Quick Win",IF(AND(G99&lt;=35,F99&gt;=200),"P2 High Value",IF(G99&lt;=50,"P3 Build","P4 Long Term")))))</f>
        <v>P2 High Value</v>
      </c>
      <c r="K99" s="2" t="s">
        <v>17</v>
      </c>
      <c r="L99" s="2" t="s">
        <v>18</v>
      </c>
      <c r="M99" s="2"/>
    </row>
    <row r="100" customFormat="false" ht="15" hidden="false" customHeight="false" outlineLevel="0" collapsed="false">
      <c r="A100" s="2" t="n">
        <v>99</v>
      </c>
      <c r="B100" s="2" t="s">
        <v>135</v>
      </c>
      <c r="C100" s="2" t="s">
        <v>14</v>
      </c>
      <c r="D100" s="2" t="s">
        <v>15</v>
      </c>
      <c r="E100" s="2" t="s">
        <v>20</v>
      </c>
      <c r="F100" s="3" t="n">
        <v>320</v>
      </c>
      <c r="G100" s="2" t="n">
        <v>45</v>
      </c>
      <c r="H100" s="4" t="n">
        <v>0.1</v>
      </c>
      <c r="I100" s="3" t="n">
        <f aca="false">IF(G100="","",ROUND(F100*(100-G100)/100,0))</f>
        <v>176</v>
      </c>
      <c r="J100" s="2" t="str">
        <f aca="false">IF(G100="","Needs KD",IF(D100&lt;&gt;"Client","Not a buyer",IF(AND(G100&lt;=25,F100&gt;=500),"P1 Quick Win",IF(AND(G100&lt;=35,F100&gt;=200),"P2 High Value",IF(G100&lt;=50,"P3 Build","P4 Long Term")))))</f>
        <v>P3 Build</v>
      </c>
      <c r="K100" s="2" t="s">
        <v>17</v>
      </c>
      <c r="L100" s="2" t="s">
        <v>18</v>
      </c>
      <c r="M100" s="2"/>
    </row>
    <row r="101" customFormat="false" ht="15" hidden="false" customHeight="false" outlineLevel="0" collapsed="false">
      <c r="A101" s="2" t="n">
        <v>100</v>
      </c>
      <c r="B101" s="2" t="s">
        <v>136</v>
      </c>
      <c r="C101" s="2" t="s">
        <v>14</v>
      </c>
      <c r="D101" s="2" t="s">
        <v>15</v>
      </c>
      <c r="E101" s="2" t="s">
        <v>20</v>
      </c>
      <c r="F101" s="3" t="n">
        <v>320</v>
      </c>
      <c r="G101" s="2" t="n">
        <v>19</v>
      </c>
      <c r="H101" s="4" t="n">
        <v>1.32</v>
      </c>
      <c r="I101" s="3" t="n">
        <f aca="false">IF(G101="","",ROUND(F101*(100-G101)/100,0))</f>
        <v>259</v>
      </c>
      <c r="J101" s="2" t="str">
        <f aca="false">IF(G101="","Needs KD",IF(D101&lt;&gt;"Client","Not a buyer",IF(AND(G101&lt;=25,F101&gt;=500),"P1 Quick Win",IF(AND(G101&lt;=35,F101&gt;=200),"P2 High Value",IF(G101&lt;=50,"P3 Build","P4 Long Term")))))</f>
        <v>P2 High Value</v>
      </c>
      <c r="K101" s="2" t="s">
        <v>45</v>
      </c>
      <c r="L101" s="2" t="s">
        <v>18</v>
      </c>
      <c r="M101" s="2"/>
    </row>
    <row r="102" customFormat="false" ht="15" hidden="false" customHeight="false" outlineLevel="0" collapsed="false">
      <c r="A102" s="2" t="n">
        <v>101</v>
      </c>
      <c r="B102" s="2" t="s">
        <v>137</v>
      </c>
      <c r="C102" s="2" t="s">
        <v>14</v>
      </c>
      <c r="D102" s="2" t="s">
        <v>15</v>
      </c>
      <c r="E102" s="2" t="s">
        <v>20</v>
      </c>
      <c r="F102" s="3" t="n">
        <v>320</v>
      </c>
      <c r="G102" s="2" t="n">
        <v>17</v>
      </c>
      <c r="H102" s="4" t="n">
        <v>0.84</v>
      </c>
      <c r="I102" s="3" t="n">
        <f aca="false">IF(G102="","",ROUND(F102*(100-G102)/100,0))</f>
        <v>266</v>
      </c>
      <c r="J102" s="2" t="str">
        <f aca="false">IF(G102="","Needs KD",IF(D102&lt;&gt;"Client","Not a buyer",IF(AND(G102&lt;=25,F102&gt;=500),"P1 Quick Win",IF(AND(G102&lt;=35,F102&gt;=200),"P2 High Value",IF(G102&lt;=50,"P3 Build","P4 Long Term")))))</f>
        <v>P2 High Value</v>
      </c>
      <c r="K102" s="2" t="s">
        <v>45</v>
      </c>
      <c r="L102" s="2" t="s">
        <v>18</v>
      </c>
      <c r="M102" s="2"/>
    </row>
    <row r="103" customFormat="false" ht="15" hidden="false" customHeight="false" outlineLevel="0" collapsed="false">
      <c r="A103" s="2" t="n">
        <v>102</v>
      </c>
      <c r="B103" s="2" t="s">
        <v>138</v>
      </c>
      <c r="C103" s="2" t="s">
        <v>14</v>
      </c>
      <c r="D103" s="2" t="s">
        <v>15</v>
      </c>
      <c r="E103" s="2" t="s">
        <v>56</v>
      </c>
      <c r="F103" s="3" t="n">
        <v>320</v>
      </c>
      <c r="G103" s="2" t="n">
        <v>54</v>
      </c>
      <c r="H103" s="4" t="n">
        <v>0</v>
      </c>
      <c r="I103" s="3" t="n">
        <f aca="false">IF(G103="","",ROUND(F103*(100-G103)/100,0))</f>
        <v>147</v>
      </c>
      <c r="J103" s="2" t="str">
        <f aca="false">IF(G103="","Needs KD",IF(D103&lt;&gt;"Client","Not a buyer",IF(AND(G103&lt;=25,F103&gt;=500),"P1 Quick Win",IF(AND(G103&lt;=35,F103&gt;=200),"P2 High Value",IF(G103&lt;=50,"P3 Build","P4 Long Term")))))</f>
        <v>P4 Long Term</v>
      </c>
      <c r="K103" s="2" t="s">
        <v>81</v>
      </c>
      <c r="L103" s="2" t="s">
        <v>18</v>
      </c>
      <c r="M103" s="2"/>
    </row>
    <row r="104" customFormat="false" ht="15" hidden="false" customHeight="false" outlineLevel="0" collapsed="false">
      <c r="A104" s="2" t="n">
        <v>103</v>
      </c>
      <c r="B104" s="2" t="s">
        <v>139</v>
      </c>
      <c r="C104" s="2" t="s">
        <v>14</v>
      </c>
      <c r="D104" s="2" t="s">
        <v>15</v>
      </c>
      <c r="E104" s="2" t="s">
        <v>20</v>
      </c>
      <c r="F104" s="3" t="n">
        <v>260</v>
      </c>
      <c r="G104" s="2" t="n">
        <v>17</v>
      </c>
      <c r="H104" s="4" t="n">
        <v>0</v>
      </c>
      <c r="I104" s="3" t="n">
        <f aca="false">IF(G104="","",ROUND(F104*(100-G104)/100,0))</f>
        <v>216</v>
      </c>
      <c r="J104" s="2" t="str">
        <f aca="false">IF(G104="","Needs KD",IF(D104&lt;&gt;"Client","Not a buyer",IF(AND(G104&lt;=25,F104&gt;=500),"P1 Quick Win",IF(AND(G104&lt;=35,F104&gt;=200),"P2 High Value",IF(G104&lt;=50,"P3 Build","P4 Long Term")))))</f>
        <v>P2 High Value</v>
      </c>
      <c r="K104" s="2" t="s">
        <v>25</v>
      </c>
      <c r="L104" s="2" t="s">
        <v>18</v>
      </c>
      <c r="M104" s="2"/>
    </row>
    <row r="105" customFormat="false" ht="15" hidden="false" customHeight="false" outlineLevel="0" collapsed="false">
      <c r="A105" s="2" t="n">
        <v>104</v>
      </c>
      <c r="B105" s="2" t="s">
        <v>140</v>
      </c>
      <c r="C105" s="2" t="s">
        <v>14</v>
      </c>
      <c r="D105" s="2" t="s">
        <v>15</v>
      </c>
      <c r="E105" s="2" t="s">
        <v>53</v>
      </c>
      <c r="F105" s="3" t="n">
        <v>260</v>
      </c>
      <c r="G105" s="2" t="n">
        <v>54</v>
      </c>
      <c r="H105" s="4" t="n">
        <v>0.35</v>
      </c>
      <c r="I105" s="3" t="n">
        <f aca="false">IF(G105="","",ROUND(F105*(100-G105)/100,0))</f>
        <v>120</v>
      </c>
      <c r="J105" s="2" t="str">
        <f aca="false">IF(G105="","Needs KD",IF(D105&lt;&gt;"Client","Not a buyer",IF(AND(G105&lt;=25,F105&gt;=500),"P1 Quick Win",IF(AND(G105&lt;=35,F105&gt;=200),"P2 High Value",IF(G105&lt;=50,"P3 Build","P4 Long Term")))))</f>
        <v>P4 Long Term</v>
      </c>
      <c r="K105" s="2" t="s">
        <v>23</v>
      </c>
      <c r="L105" s="2" t="s">
        <v>18</v>
      </c>
      <c r="M105" s="2"/>
    </row>
    <row r="106" customFormat="false" ht="15" hidden="false" customHeight="false" outlineLevel="0" collapsed="false">
      <c r="A106" s="2" t="n">
        <v>105</v>
      </c>
      <c r="B106" s="2" t="s">
        <v>141</v>
      </c>
      <c r="C106" s="2" t="s">
        <v>14</v>
      </c>
      <c r="D106" s="2" t="s">
        <v>15</v>
      </c>
      <c r="E106" s="2" t="s">
        <v>20</v>
      </c>
      <c r="F106" s="3" t="n">
        <v>260</v>
      </c>
      <c r="G106" s="2" t="n">
        <v>57</v>
      </c>
      <c r="H106" s="4" t="n">
        <v>0.69</v>
      </c>
      <c r="I106" s="3" t="n">
        <f aca="false">IF(G106="","",ROUND(F106*(100-G106)/100,0))</f>
        <v>112</v>
      </c>
      <c r="J106" s="2" t="str">
        <f aca="false">IF(G106="","Needs KD",IF(D106&lt;&gt;"Client","Not a buyer",IF(AND(G106&lt;=25,F106&gt;=500),"P1 Quick Win",IF(AND(G106&lt;=35,F106&gt;=200),"P2 High Value",IF(G106&lt;=50,"P3 Build","P4 Long Term")))))</f>
        <v>P4 Long Term</v>
      </c>
      <c r="K106" s="2" t="s">
        <v>37</v>
      </c>
      <c r="L106" s="2" t="s">
        <v>18</v>
      </c>
      <c r="M106" s="2"/>
    </row>
    <row r="107" customFormat="false" ht="15" hidden="false" customHeight="false" outlineLevel="0" collapsed="false">
      <c r="A107" s="2" t="n">
        <v>106</v>
      </c>
      <c r="B107" s="2" t="s">
        <v>142</v>
      </c>
      <c r="C107" s="2" t="s">
        <v>14</v>
      </c>
      <c r="D107" s="2" t="s">
        <v>15</v>
      </c>
      <c r="E107" s="2" t="s">
        <v>20</v>
      </c>
      <c r="F107" s="3" t="n">
        <v>260</v>
      </c>
      <c r="G107" s="2" t="n">
        <v>44</v>
      </c>
      <c r="H107" s="4" t="n">
        <v>0.42</v>
      </c>
      <c r="I107" s="3" t="n">
        <f aca="false">IF(G107="","",ROUND(F107*(100-G107)/100,0))</f>
        <v>146</v>
      </c>
      <c r="J107" s="2" t="str">
        <f aca="false">IF(G107="","Needs KD",IF(D107&lt;&gt;"Client","Not a buyer",IF(AND(G107&lt;=25,F107&gt;=500),"P1 Quick Win",IF(AND(G107&lt;=35,F107&gt;=200),"P2 High Value",IF(G107&lt;=50,"P3 Build","P4 Long Term")))))</f>
        <v>P3 Build</v>
      </c>
      <c r="K107" s="2" t="s">
        <v>21</v>
      </c>
      <c r="L107" s="2" t="s">
        <v>18</v>
      </c>
      <c r="M107" s="2"/>
    </row>
    <row r="108" customFormat="false" ht="15" hidden="false" customHeight="false" outlineLevel="0" collapsed="false">
      <c r="A108" s="2" t="n">
        <v>107</v>
      </c>
      <c r="B108" s="2" t="s">
        <v>143</v>
      </c>
      <c r="C108" s="2" t="s">
        <v>14</v>
      </c>
      <c r="D108" s="2" t="s">
        <v>15</v>
      </c>
      <c r="E108" s="2" t="s">
        <v>20</v>
      </c>
      <c r="F108" s="3" t="n">
        <v>260</v>
      </c>
      <c r="G108" s="2" t="n">
        <v>16</v>
      </c>
      <c r="H108" s="4" t="n">
        <v>0</v>
      </c>
      <c r="I108" s="3" t="n">
        <f aca="false">IF(G108="","",ROUND(F108*(100-G108)/100,0))</f>
        <v>218</v>
      </c>
      <c r="J108" s="2" t="str">
        <f aca="false">IF(G108="","Needs KD",IF(D108&lt;&gt;"Client","Not a buyer",IF(AND(G108&lt;=25,F108&gt;=500),"P1 Quick Win",IF(AND(G108&lt;=35,F108&gt;=200),"P2 High Value",IF(G108&lt;=50,"P3 Build","P4 Long Term")))))</f>
        <v>P2 High Value</v>
      </c>
      <c r="K108" s="2" t="s">
        <v>21</v>
      </c>
      <c r="L108" s="2" t="s">
        <v>18</v>
      </c>
      <c r="M108" s="2"/>
    </row>
    <row r="109" customFormat="false" ht="15" hidden="false" customHeight="false" outlineLevel="0" collapsed="false">
      <c r="A109" s="2" t="n">
        <v>108</v>
      </c>
      <c r="B109" s="2" t="s">
        <v>144</v>
      </c>
      <c r="C109" s="2" t="s">
        <v>14</v>
      </c>
      <c r="D109" s="2" t="s">
        <v>15</v>
      </c>
      <c r="E109" s="2" t="s">
        <v>20</v>
      </c>
      <c r="F109" s="3" t="n">
        <v>260</v>
      </c>
      <c r="G109" s="2" t="n">
        <v>28</v>
      </c>
      <c r="H109" s="4" t="n">
        <v>0.41</v>
      </c>
      <c r="I109" s="3" t="n">
        <f aca="false">IF(G109="","",ROUND(F109*(100-G109)/100,0))</f>
        <v>187</v>
      </c>
      <c r="J109" s="2" t="str">
        <f aca="false">IF(G109="","Needs KD",IF(D109&lt;&gt;"Client","Not a buyer",IF(AND(G109&lt;=25,F109&gt;=500),"P1 Quick Win",IF(AND(G109&lt;=35,F109&gt;=200),"P2 High Value",IF(G109&lt;=50,"P3 Build","P4 Long Term")))))</f>
        <v>P2 High Value</v>
      </c>
      <c r="K109" s="2" t="s">
        <v>41</v>
      </c>
      <c r="L109" s="2" t="s">
        <v>18</v>
      </c>
      <c r="M109" s="2"/>
    </row>
    <row r="110" customFormat="false" ht="15" hidden="false" customHeight="false" outlineLevel="0" collapsed="false">
      <c r="A110" s="2" t="n">
        <v>109</v>
      </c>
      <c r="B110" s="2" t="s">
        <v>145</v>
      </c>
      <c r="C110" s="2" t="s">
        <v>14</v>
      </c>
      <c r="D110" s="2" t="s">
        <v>15</v>
      </c>
      <c r="E110" s="2" t="s">
        <v>20</v>
      </c>
      <c r="F110" s="3" t="n">
        <v>260</v>
      </c>
      <c r="G110" s="2" t="n">
        <v>21</v>
      </c>
      <c r="H110" s="4" t="n">
        <v>0.37</v>
      </c>
      <c r="I110" s="3" t="n">
        <f aca="false">IF(G110="","",ROUND(F110*(100-G110)/100,0))</f>
        <v>205</v>
      </c>
      <c r="J110" s="2" t="str">
        <f aca="false">IF(G110="","Needs KD",IF(D110&lt;&gt;"Client","Not a buyer",IF(AND(G110&lt;=25,F110&gt;=500),"P1 Quick Win",IF(AND(G110&lt;=35,F110&gt;=200),"P2 High Value",IF(G110&lt;=50,"P3 Build","P4 Long Term")))))</f>
        <v>P2 High Value</v>
      </c>
      <c r="K110" s="2" t="s">
        <v>41</v>
      </c>
      <c r="L110" s="2" t="s">
        <v>18</v>
      </c>
      <c r="M110" s="2"/>
    </row>
    <row r="111" customFormat="false" ht="15" hidden="false" customHeight="false" outlineLevel="0" collapsed="false">
      <c r="A111" s="2" t="n">
        <v>110</v>
      </c>
      <c r="B111" s="2" t="s">
        <v>146</v>
      </c>
      <c r="C111" s="2" t="s">
        <v>14</v>
      </c>
      <c r="D111" s="2" t="s">
        <v>15</v>
      </c>
      <c r="E111" s="2" t="s">
        <v>20</v>
      </c>
      <c r="F111" s="3" t="n">
        <v>260</v>
      </c>
      <c r="G111" s="2" t="n">
        <v>22</v>
      </c>
      <c r="H111" s="4" t="n">
        <v>0.9</v>
      </c>
      <c r="I111" s="3" t="n">
        <f aca="false">IF(G111="","",ROUND(F111*(100-G111)/100,0))</f>
        <v>203</v>
      </c>
      <c r="J111" s="2" t="str">
        <f aca="false">IF(G111="","Needs KD",IF(D111&lt;&gt;"Client","Not a buyer",IF(AND(G111&lt;=25,F111&gt;=500),"P1 Quick Win",IF(AND(G111&lt;=35,F111&gt;=200),"P2 High Value",IF(G111&lt;=50,"P3 Build","P4 Long Term")))))</f>
        <v>P2 High Value</v>
      </c>
      <c r="K111" s="2" t="s">
        <v>41</v>
      </c>
      <c r="L111" s="2" t="s">
        <v>18</v>
      </c>
      <c r="M111" s="2"/>
    </row>
    <row r="112" customFormat="false" ht="15" hidden="false" customHeight="false" outlineLevel="0" collapsed="false">
      <c r="A112" s="2" t="n">
        <v>111</v>
      </c>
      <c r="B112" s="2" t="s">
        <v>147</v>
      </c>
      <c r="C112" s="2" t="s">
        <v>14</v>
      </c>
      <c r="D112" s="2" t="s">
        <v>15</v>
      </c>
      <c r="E112" s="2" t="s">
        <v>53</v>
      </c>
      <c r="F112" s="3" t="n">
        <v>260</v>
      </c>
      <c r="G112" s="2" t="n">
        <v>58</v>
      </c>
      <c r="H112" s="4" t="n">
        <v>0</v>
      </c>
      <c r="I112" s="3" t="n">
        <f aca="false">IF(G112="","",ROUND(F112*(100-G112)/100,0))</f>
        <v>109</v>
      </c>
      <c r="J112" s="2" t="str">
        <f aca="false">IF(G112="","Needs KD",IF(D112&lt;&gt;"Client","Not a buyer",IF(AND(G112&lt;=25,F112&gt;=500),"P1 Quick Win",IF(AND(G112&lt;=35,F112&gt;=200),"P2 High Value",IF(G112&lt;=50,"P3 Build","P4 Long Term")))))</f>
        <v>P4 Long Term</v>
      </c>
      <c r="K112" s="2" t="s">
        <v>41</v>
      </c>
      <c r="L112" s="2" t="s">
        <v>18</v>
      </c>
      <c r="M112" s="2"/>
    </row>
    <row r="113" customFormat="false" ht="15" hidden="false" customHeight="false" outlineLevel="0" collapsed="false">
      <c r="A113" s="2" t="n">
        <v>112</v>
      </c>
      <c r="B113" s="2" t="s">
        <v>148</v>
      </c>
      <c r="C113" s="2" t="s">
        <v>14</v>
      </c>
      <c r="D113" s="2" t="s">
        <v>15</v>
      </c>
      <c r="E113" s="2" t="s">
        <v>16</v>
      </c>
      <c r="F113" s="3" t="n">
        <v>260</v>
      </c>
      <c r="G113" s="2" t="n">
        <v>55</v>
      </c>
      <c r="H113" s="4" t="n">
        <v>0</v>
      </c>
      <c r="I113" s="3" t="n">
        <f aca="false">IF(G113="","",ROUND(F113*(100-G113)/100,0))</f>
        <v>117</v>
      </c>
      <c r="J113" s="2" t="str">
        <f aca="false">IF(G113="","Needs KD",IF(D113&lt;&gt;"Client","Not a buyer",IF(AND(G113&lt;=25,F113&gt;=500),"P1 Quick Win",IF(AND(G113&lt;=35,F113&gt;=200),"P2 High Value",IF(G113&lt;=50,"P3 Build","P4 Long Term")))))</f>
        <v>P4 Long Term</v>
      </c>
      <c r="K113" s="2" t="s">
        <v>17</v>
      </c>
      <c r="L113" s="2" t="s">
        <v>18</v>
      </c>
      <c r="M113" s="2"/>
    </row>
    <row r="114" customFormat="false" ht="15" hidden="false" customHeight="false" outlineLevel="0" collapsed="false">
      <c r="A114" s="2" t="n">
        <v>113</v>
      </c>
      <c r="B114" s="2" t="s">
        <v>149</v>
      </c>
      <c r="C114" s="2" t="s">
        <v>14</v>
      </c>
      <c r="D114" s="2" t="s">
        <v>15</v>
      </c>
      <c r="E114" s="2" t="s">
        <v>20</v>
      </c>
      <c r="F114" s="3" t="n">
        <v>260</v>
      </c>
      <c r="G114" s="2" t="n">
        <v>56</v>
      </c>
      <c r="H114" s="4" t="n">
        <v>0.26</v>
      </c>
      <c r="I114" s="3" t="n">
        <f aca="false">IF(G114="","",ROUND(F114*(100-G114)/100,0))</f>
        <v>114</v>
      </c>
      <c r="J114" s="2" t="str">
        <f aca="false">IF(G114="","Needs KD",IF(D114&lt;&gt;"Client","Not a buyer",IF(AND(G114&lt;=25,F114&gt;=500),"P1 Quick Win",IF(AND(G114&lt;=35,F114&gt;=200),"P2 High Value",IF(G114&lt;=50,"P3 Build","P4 Long Term")))))</f>
        <v>P4 Long Term</v>
      </c>
      <c r="K114" s="2" t="s">
        <v>83</v>
      </c>
      <c r="L114" s="2" t="s">
        <v>18</v>
      </c>
      <c r="M114" s="2"/>
    </row>
    <row r="115" customFormat="false" ht="15" hidden="false" customHeight="false" outlineLevel="0" collapsed="false">
      <c r="A115" s="2" t="n">
        <v>114</v>
      </c>
      <c r="B115" s="2" t="s">
        <v>150</v>
      </c>
      <c r="C115" s="2" t="s">
        <v>14</v>
      </c>
      <c r="D115" s="2" t="s">
        <v>15</v>
      </c>
      <c r="E115" s="2" t="s">
        <v>20</v>
      </c>
      <c r="F115" s="3" t="n">
        <v>260</v>
      </c>
      <c r="G115" s="2" t="n">
        <v>53</v>
      </c>
      <c r="H115" s="4" t="n">
        <v>0.26</v>
      </c>
      <c r="I115" s="3" t="n">
        <f aca="false">IF(G115="","",ROUND(F115*(100-G115)/100,0))</f>
        <v>122</v>
      </c>
      <c r="J115" s="2" t="str">
        <f aca="false">IF(G115="","Needs KD",IF(D115&lt;&gt;"Client","Not a buyer",IF(AND(G115&lt;=25,F115&gt;=500),"P1 Quick Win",IF(AND(G115&lt;=35,F115&gt;=200),"P2 High Value",IF(G115&lt;=50,"P3 Build","P4 Long Term")))))</f>
        <v>P4 Long Term</v>
      </c>
      <c r="K115" s="2" t="s">
        <v>83</v>
      </c>
      <c r="L115" s="2" t="s">
        <v>18</v>
      </c>
      <c r="M115" s="2"/>
    </row>
    <row r="116" customFormat="false" ht="15" hidden="false" customHeight="false" outlineLevel="0" collapsed="false">
      <c r="A116" s="2" t="n">
        <v>115</v>
      </c>
      <c r="B116" s="2" t="s">
        <v>151</v>
      </c>
      <c r="C116" s="2" t="s">
        <v>14</v>
      </c>
      <c r="D116" s="2" t="s">
        <v>15</v>
      </c>
      <c r="E116" s="2" t="s">
        <v>16</v>
      </c>
      <c r="F116" s="3" t="n">
        <v>260</v>
      </c>
      <c r="G116" s="2" t="n">
        <v>60</v>
      </c>
      <c r="H116" s="4" t="n">
        <v>1.31</v>
      </c>
      <c r="I116" s="3" t="n">
        <f aca="false">IF(G116="","",ROUND(F116*(100-G116)/100,0))</f>
        <v>104</v>
      </c>
      <c r="J116" s="2" t="str">
        <f aca="false">IF(G116="","Needs KD",IF(D116&lt;&gt;"Client","Not a buyer",IF(AND(G116&lt;=25,F116&gt;=500),"P1 Quick Win",IF(AND(G116&lt;=35,F116&gt;=200),"P2 High Value",IF(G116&lt;=50,"P3 Build","P4 Long Term")))))</f>
        <v>P4 Long Term</v>
      </c>
      <c r="K116" s="2" t="s">
        <v>83</v>
      </c>
      <c r="L116" s="2" t="s">
        <v>18</v>
      </c>
      <c r="M116" s="2"/>
    </row>
    <row r="117" customFormat="false" ht="15" hidden="false" customHeight="false" outlineLevel="0" collapsed="false">
      <c r="A117" s="2" t="n">
        <v>116</v>
      </c>
      <c r="B117" s="2" t="s">
        <v>152</v>
      </c>
      <c r="C117" s="2" t="s">
        <v>14</v>
      </c>
      <c r="D117" s="2" t="s">
        <v>15</v>
      </c>
      <c r="E117" s="2" t="s">
        <v>20</v>
      </c>
      <c r="F117" s="3" t="n">
        <v>210</v>
      </c>
      <c r="G117" s="2" t="n">
        <v>21</v>
      </c>
      <c r="H117" s="4" t="n">
        <v>0</v>
      </c>
      <c r="I117" s="3" t="n">
        <f aca="false">IF(G117="","",ROUND(F117*(100-G117)/100,0))</f>
        <v>166</v>
      </c>
      <c r="J117" s="2" t="str">
        <f aca="false">IF(G117="","Needs KD",IF(D117&lt;&gt;"Client","Not a buyer",IF(AND(G117&lt;=25,F117&gt;=500),"P1 Quick Win",IF(AND(G117&lt;=35,F117&gt;=200),"P2 High Value",IF(G117&lt;=50,"P3 Build","P4 Long Term")))))</f>
        <v>P2 High Value</v>
      </c>
      <c r="K117" s="2" t="s">
        <v>25</v>
      </c>
      <c r="L117" s="2" t="s">
        <v>18</v>
      </c>
      <c r="M117" s="2"/>
    </row>
    <row r="118" customFormat="false" ht="15" hidden="false" customHeight="false" outlineLevel="0" collapsed="false">
      <c r="A118" s="2" t="n">
        <v>117</v>
      </c>
      <c r="B118" s="2" t="s">
        <v>153</v>
      </c>
      <c r="C118" s="2" t="s">
        <v>14</v>
      </c>
      <c r="D118" s="2" t="s">
        <v>15</v>
      </c>
      <c r="E118" s="2" t="s">
        <v>20</v>
      </c>
      <c r="F118" s="3" t="n">
        <v>210</v>
      </c>
      <c r="G118" s="2" t="n">
        <v>23</v>
      </c>
      <c r="H118" s="4" t="n">
        <v>0</v>
      </c>
      <c r="I118" s="3" t="n">
        <f aca="false">IF(G118="","",ROUND(F118*(100-G118)/100,0))</f>
        <v>162</v>
      </c>
      <c r="J118" s="2" t="str">
        <f aca="false">IF(G118="","Needs KD",IF(D118&lt;&gt;"Client","Not a buyer",IF(AND(G118&lt;=25,F118&gt;=500),"P1 Quick Win",IF(AND(G118&lt;=35,F118&gt;=200),"P2 High Value",IF(G118&lt;=50,"P3 Build","P4 Long Term")))))</f>
        <v>P2 High Value</v>
      </c>
      <c r="K118" s="2" t="s">
        <v>25</v>
      </c>
      <c r="L118" s="2" t="s">
        <v>18</v>
      </c>
      <c r="M118" s="2"/>
    </row>
    <row r="119" customFormat="false" ht="15" hidden="false" customHeight="false" outlineLevel="0" collapsed="false">
      <c r="A119" s="2" t="n">
        <v>118</v>
      </c>
      <c r="B119" s="2" t="s">
        <v>154</v>
      </c>
      <c r="C119" s="2" t="s">
        <v>14</v>
      </c>
      <c r="D119" s="2" t="s">
        <v>15</v>
      </c>
      <c r="E119" s="2" t="s">
        <v>20</v>
      </c>
      <c r="F119" s="3" t="n">
        <v>210</v>
      </c>
      <c r="G119" s="2" t="n">
        <v>21</v>
      </c>
      <c r="H119" s="4" t="n">
        <v>0</v>
      </c>
      <c r="I119" s="3" t="n">
        <f aca="false">IF(G119="","",ROUND(F119*(100-G119)/100,0))</f>
        <v>166</v>
      </c>
      <c r="J119" s="2" t="str">
        <f aca="false">IF(G119="","Needs KD",IF(D119&lt;&gt;"Client","Not a buyer",IF(AND(G119&lt;=25,F119&gt;=500),"P1 Quick Win",IF(AND(G119&lt;=35,F119&gt;=200),"P2 High Value",IF(G119&lt;=50,"P3 Build","P4 Long Term")))))</f>
        <v>P2 High Value</v>
      </c>
      <c r="K119" s="2" t="s">
        <v>25</v>
      </c>
      <c r="L119" s="2" t="s">
        <v>18</v>
      </c>
      <c r="M119" s="2"/>
    </row>
    <row r="120" customFormat="false" ht="15" hidden="false" customHeight="false" outlineLevel="0" collapsed="false">
      <c r="A120" s="2" t="n">
        <v>119</v>
      </c>
      <c r="B120" s="2" t="s">
        <v>155</v>
      </c>
      <c r="C120" s="2" t="s">
        <v>14</v>
      </c>
      <c r="D120" s="2" t="s">
        <v>15</v>
      </c>
      <c r="E120" s="2" t="s">
        <v>20</v>
      </c>
      <c r="F120" s="3" t="n">
        <v>210</v>
      </c>
      <c r="G120" s="2" t="n">
        <v>34</v>
      </c>
      <c r="H120" s="4" t="n">
        <v>0</v>
      </c>
      <c r="I120" s="3" t="n">
        <f aca="false">IF(G120="","",ROUND(F120*(100-G120)/100,0))</f>
        <v>139</v>
      </c>
      <c r="J120" s="2" t="str">
        <f aca="false">IF(G120="","Needs KD",IF(D120&lt;&gt;"Client","Not a buyer",IF(AND(G120&lt;=25,F120&gt;=500),"P1 Quick Win",IF(AND(G120&lt;=35,F120&gt;=200),"P2 High Value",IF(G120&lt;=50,"P3 Build","P4 Long Term")))))</f>
        <v>P2 High Value</v>
      </c>
      <c r="K120" s="2" t="s">
        <v>25</v>
      </c>
      <c r="L120" s="2" t="s">
        <v>18</v>
      </c>
      <c r="M120" s="2"/>
    </row>
    <row r="121" customFormat="false" ht="15" hidden="false" customHeight="false" outlineLevel="0" collapsed="false">
      <c r="A121" s="2" t="n">
        <v>120</v>
      </c>
      <c r="B121" s="2" t="s">
        <v>156</v>
      </c>
      <c r="C121" s="2" t="s">
        <v>14</v>
      </c>
      <c r="D121" s="2" t="s">
        <v>15</v>
      </c>
      <c r="E121" s="2" t="s">
        <v>53</v>
      </c>
      <c r="F121" s="3" t="n">
        <v>210</v>
      </c>
      <c r="G121" s="2" t="n">
        <v>42</v>
      </c>
      <c r="H121" s="4" t="n">
        <v>0</v>
      </c>
      <c r="I121" s="3" t="n">
        <f aca="false">IF(G121="","",ROUND(F121*(100-G121)/100,0))</f>
        <v>122</v>
      </c>
      <c r="J121" s="2" t="str">
        <f aca="false">IF(G121="","Needs KD",IF(D121&lt;&gt;"Client","Not a buyer",IF(AND(G121&lt;=25,F121&gt;=500),"P1 Quick Win",IF(AND(G121&lt;=35,F121&gt;=200),"P2 High Value",IF(G121&lt;=50,"P3 Build","P4 Long Term")))))</f>
        <v>P3 Build</v>
      </c>
      <c r="K121" s="2" t="s">
        <v>23</v>
      </c>
      <c r="L121" s="2" t="s">
        <v>18</v>
      </c>
      <c r="M121" s="2"/>
    </row>
    <row r="122" customFormat="false" ht="15" hidden="false" customHeight="false" outlineLevel="0" collapsed="false">
      <c r="A122" s="2" t="n">
        <v>121</v>
      </c>
      <c r="B122" s="2" t="s">
        <v>157</v>
      </c>
      <c r="C122" s="2" t="s">
        <v>14</v>
      </c>
      <c r="D122" s="2" t="s">
        <v>15</v>
      </c>
      <c r="E122" s="2" t="s">
        <v>53</v>
      </c>
      <c r="F122" s="3" t="n">
        <v>210</v>
      </c>
      <c r="G122" s="2" t="n">
        <v>22</v>
      </c>
      <c r="H122" s="4" t="n">
        <v>0</v>
      </c>
      <c r="I122" s="3" t="n">
        <f aca="false">IF(G122="","",ROUND(F122*(100-G122)/100,0))</f>
        <v>164</v>
      </c>
      <c r="J122" s="2" t="str">
        <f aca="false">IF(G122="","Needs KD",IF(D122&lt;&gt;"Client","Not a buyer",IF(AND(G122&lt;=25,F122&gt;=500),"P1 Quick Win",IF(AND(G122&lt;=35,F122&gt;=200),"P2 High Value",IF(G122&lt;=50,"P3 Build","P4 Long Term")))))</f>
        <v>P2 High Value</v>
      </c>
      <c r="K122" s="2" t="s">
        <v>23</v>
      </c>
      <c r="L122" s="2" t="s">
        <v>18</v>
      </c>
      <c r="M122" s="2"/>
    </row>
    <row r="123" customFormat="false" ht="15" hidden="false" customHeight="false" outlineLevel="0" collapsed="false">
      <c r="A123" s="2" t="n">
        <v>122</v>
      </c>
      <c r="B123" s="2" t="s">
        <v>158</v>
      </c>
      <c r="C123" s="2" t="s">
        <v>14</v>
      </c>
      <c r="D123" s="2" t="s">
        <v>15</v>
      </c>
      <c r="E123" s="2" t="s">
        <v>56</v>
      </c>
      <c r="F123" s="3" t="n">
        <v>210</v>
      </c>
      <c r="G123" s="2" t="n">
        <v>20</v>
      </c>
      <c r="H123" s="4" t="n">
        <v>0</v>
      </c>
      <c r="I123" s="3" t="n">
        <f aca="false">IF(G123="","",ROUND(F123*(100-G123)/100,0))</f>
        <v>168</v>
      </c>
      <c r="J123" s="2" t="str">
        <f aca="false">IF(G123="","Needs KD",IF(D123&lt;&gt;"Client","Not a buyer",IF(AND(G123&lt;=25,F123&gt;=500),"P1 Quick Win",IF(AND(G123&lt;=35,F123&gt;=200),"P2 High Value",IF(G123&lt;=50,"P3 Build","P4 Long Term")))))</f>
        <v>P2 High Value</v>
      </c>
      <c r="K123" s="2" t="s">
        <v>23</v>
      </c>
      <c r="L123" s="2" t="s">
        <v>18</v>
      </c>
      <c r="M123" s="2"/>
    </row>
    <row r="124" customFormat="false" ht="15" hidden="false" customHeight="false" outlineLevel="0" collapsed="false">
      <c r="A124" s="2" t="n">
        <v>123</v>
      </c>
      <c r="B124" s="2" t="s">
        <v>159</v>
      </c>
      <c r="C124" s="2" t="s">
        <v>14</v>
      </c>
      <c r="D124" s="2" t="s">
        <v>15</v>
      </c>
      <c r="E124" s="2" t="s">
        <v>20</v>
      </c>
      <c r="F124" s="3" t="n">
        <v>210</v>
      </c>
      <c r="G124" s="2" t="n">
        <v>49</v>
      </c>
      <c r="H124" s="4" t="n">
        <v>1.08</v>
      </c>
      <c r="I124" s="3" t="n">
        <f aca="false">IF(G124="","",ROUND(F124*(100-G124)/100,0))</f>
        <v>107</v>
      </c>
      <c r="J124" s="2" t="str">
        <f aca="false">IF(G124="","Needs KD",IF(D124&lt;&gt;"Client","Not a buyer",IF(AND(G124&lt;=25,F124&gt;=500),"P1 Quick Win",IF(AND(G124&lt;=35,F124&gt;=200),"P2 High Value",IF(G124&lt;=50,"P3 Build","P4 Long Term")))))</f>
        <v>P3 Build</v>
      </c>
      <c r="K124" s="2" t="s">
        <v>21</v>
      </c>
      <c r="L124" s="2" t="s">
        <v>18</v>
      </c>
      <c r="M124" s="2"/>
    </row>
    <row r="125" customFormat="false" ht="15" hidden="false" customHeight="false" outlineLevel="0" collapsed="false">
      <c r="A125" s="2" t="n">
        <v>124</v>
      </c>
      <c r="B125" s="2" t="s">
        <v>160</v>
      </c>
      <c r="C125" s="2" t="s">
        <v>14</v>
      </c>
      <c r="D125" s="2" t="s">
        <v>15</v>
      </c>
      <c r="E125" s="2" t="s">
        <v>20</v>
      </c>
      <c r="F125" s="3" t="n">
        <v>210</v>
      </c>
      <c r="G125" s="2" t="n">
        <v>38</v>
      </c>
      <c r="H125" s="4" t="n">
        <v>0.13</v>
      </c>
      <c r="I125" s="3" t="n">
        <f aca="false">IF(G125="","",ROUND(F125*(100-G125)/100,0))</f>
        <v>130</v>
      </c>
      <c r="J125" s="2" t="str">
        <f aca="false">IF(G125="","Needs KD",IF(D125&lt;&gt;"Client","Not a buyer",IF(AND(G125&lt;=25,F125&gt;=500),"P1 Quick Win",IF(AND(G125&lt;=35,F125&gt;=200),"P2 High Value",IF(G125&lt;=50,"P3 Build","P4 Long Term")))))</f>
        <v>P3 Build</v>
      </c>
      <c r="K125" s="2" t="s">
        <v>21</v>
      </c>
      <c r="L125" s="2" t="s">
        <v>18</v>
      </c>
      <c r="M125" s="2"/>
    </row>
    <row r="126" customFormat="false" ht="15" hidden="false" customHeight="false" outlineLevel="0" collapsed="false">
      <c r="A126" s="2" t="n">
        <v>125</v>
      </c>
      <c r="B126" s="2" t="s">
        <v>161</v>
      </c>
      <c r="C126" s="2" t="s">
        <v>14</v>
      </c>
      <c r="D126" s="2" t="s">
        <v>15</v>
      </c>
      <c r="E126" s="2" t="s">
        <v>20</v>
      </c>
      <c r="F126" s="3" t="n">
        <v>210</v>
      </c>
      <c r="G126" s="2" t="n">
        <v>34</v>
      </c>
      <c r="H126" s="4" t="n">
        <v>0.09</v>
      </c>
      <c r="I126" s="3" t="n">
        <f aca="false">IF(G126="","",ROUND(F126*(100-G126)/100,0))</f>
        <v>139</v>
      </c>
      <c r="J126" s="2" t="str">
        <f aca="false">IF(G126="","Needs KD",IF(D126&lt;&gt;"Client","Not a buyer",IF(AND(G126&lt;=25,F126&gt;=500),"P1 Quick Win",IF(AND(G126&lt;=35,F126&gt;=200),"P2 High Value",IF(G126&lt;=50,"P3 Build","P4 Long Term")))))</f>
        <v>P2 High Value</v>
      </c>
      <c r="K126" s="2" t="s">
        <v>21</v>
      </c>
      <c r="L126" s="2" t="s">
        <v>18</v>
      </c>
      <c r="M126" s="2"/>
    </row>
    <row r="127" customFormat="false" ht="15" hidden="false" customHeight="false" outlineLevel="0" collapsed="false">
      <c r="A127" s="2" t="n">
        <v>126</v>
      </c>
      <c r="B127" s="2" t="s">
        <v>162</v>
      </c>
      <c r="C127" s="2" t="s">
        <v>14</v>
      </c>
      <c r="D127" s="2" t="s">
        <v>15</v>
      </c>
      <c r="E127" s="2" t="s">
        <v>20</v>
      </c>
      <c r="F127" s="3" t="n">
        <v>210</v>
      </c>
      <c r="G127" s="2" t="n">
        <v>61</v>
      </c>
      <c r="H127" s="4" t="n">
        <v>0.92</v>
      </c>
      <c r="I127" s="3" t="n">
        <f aca="false">IF(G127="","",ROUND(F127*(100-G127)/100,0))</f>
        <v>82</v>
      </c>
      <c r="J127" s="2" t="str">
        <f aca="false">IF(G127="","Needs KD",IF(D127&lt;&gt;"Client","Not a buyer",IF(AND(G127&lt;=25,F127&gt;=500),"P1 Quick Win",IF(AND(G127&lt;=35,F127&gt;=200),"P2 High Value",IF(G127&lt;=50,"P3 Build","P4 Long Term")))))</f>
        <v>P4 Long Term</v>
      </c>
      <c r="K127" s="2" t="s">
        <v>21</v>
      </c>
      <c r="L127" s="2" t="s">
        <v>18</v>
      </c>
      <c r="M127" s="2"/>
    </row>
    <row r="128" customFormat="false" ht="15" hidden="false" customHeight="false" outlineLevel="0" collapsed="false">
      <c r="A128" s="2" t="n">
        <v>127</v>
      </c>
      <c r="B128" s="2" t="s">
        <v>163</v>
      </c>
      <c r="C128" s="2" t="s">
        <v>14</v>
      </c>
      <c r="D128" s="2" t="s">
        <v>15</v>
      </c>
      <c r="E128" s="2" t="s">
        <v>20</v>
      </c>
      <c r="F128" s="3" t="n">
        <v>210</v>
      </c>
      <c r="G128" s="2" t="n">
        <v>23</v>
      </c>
      <c r="H128" s="4" t="n">
        <v>0.72</v>
      </c>
      <c r="I128" s="3" t="n">
        <f aca="false">IF(G128="","",ROUND(F128*(100-G128)/100,0))</f>
        <v>162</v>
      </c>
      <c r="J128" s="2" t="str">
        <f aca="false">IF(G128="","Needs KD",IF(D128&lt;&gt;"Client","Not a buyer",IF(AND(G128&lt;=25,F128&gt;=500),"P1 Quick Win",IF(AND(G128&lt;=35,F128&gt;=200),"P2 High Value",IF(G128&lt;=50,"P3 Build","P4 Long Term")))))</f>
        <v>P2 High Value</v>
      </c>
      <c r="K128" s="2" t="s">
        <v>41</v>
      </c>
      <c r="L128" s="2" t="s">
        <v>18</v>
      </c>
      <c r="M128" s="2"/>
    </row>
    <row r="129" customFormat="false" ht="15" hidden="false" customHeight="false" outlineLevel="0" collapsed="false">
      <c r="A129" s="2" t="n">
        <v>128</v>
      </c>
      <c r="B129" s="2" t="s">
        <v>164</v>
      </c>
      <c r="C129" s="2" t="s">
        <v>14</v>
      </c>
      <c r="D129" s="2" t="s">
        <v>15</v>
      </c>
      <c r="E129" s="2" t="s">
        <v>20</v>
      </c>
      <c r="F129" s="3" t="n">
        <v>210</v>
      </c>
      <c r="G129" s="2" t="n">
        <v>20</v>
      </c>
      <c r="H129" s="4" t="n">
        <v>0.33</v>
      </c>
      <c r="I129" s="3" t="n">
        <f aca="false">IF(G129="","",ROUND(F129*(100-G129)/100,0))</f>
        <v>168</v>
      </c>
      <c r="J129" s="2" t="str">
        <f aca="false">IF(G129="","Needs KD",IF(D129&lt;&gt;"Client","Not a buyer",IF(AND(G129&lt;=25,F129&gt;=500),"P1 Quick Win",IF(AND(G129&lt;=35,F129&gt;=200),"P2 High Value",IF(G129&lt;=50,"P3 Build","P4 Long Term")))))</f>
        <v>P2 High Value</v>
      </c>
      <c r="K129" s="2" t="s">
        <v>41</v>
      </c>
      <c r="L129" s="2" t="s">
        <v>18</v>
      </c>
      <c r="M129" s="2"/>
    </row>
    <row r="130" customFormat="false" ht="15" hidden="false" customHeight="false" outlineLevel="0" collapsed="false">
      <c r="A130" s="2" t="n">
        <v>129</v>
      </c>
      <c r="B130" s="2" t="s">
        <v>165</v>
      </c>
      <c r="C130" s="2" t="s">
        <v>14</v>
      </c>
      <c r="D130" s="2" t="s">
        <v>15</v>
      </c>
      <c r="E130" s="2" t="s">
        <v>20</v>
      </c>
      <c r="F130" s="3" t="n">
        <v>210</v>
      </c>
      <c r="G130" s="2" t="n">
        <v>17</v>
      </c>
      <c r="H130" s="4" t="n">
        <v>0</v>
      </c>
      <c r="I130" s="3" t="n">
        <f aca="false">IF(G130="","",ROUND(F130*(100-G130)/100,0))</f>
        <v>174</v>
      </c>
      <c r="J130" s="2" t="str">
        <f aca="false">IF(G130="","Needs KD",IF(D130&lt;&gt;"Client","Not a buyer",IF(AND(G130&lt;=25,F130&gt;=500),"P1 Quick Win",IF(AND(G130&lt;=35,F130&gt;=200),"P2 High Value",IF(G130&lt;=50,"P3 Build","P4 Long Term")))))</f>
        <v>P2 High Value</v>
      </c>
      <c r="K130" s="2" t="s">
        <v>41</v>
      </c>
      <c r="L130" s="2" t="s">
        <v>18</v>
      </c>
      <c r="M130" s="2"/>
    </row>
    <row r="131" customFormat="false" ht="15" hidden="false" customHeight="false" outlineLevel="0" collapsed="false">
      <c r="A131" s="2" t="n">
        <v>130</v>
      </c>
      <c r="B131" s="2" t="s">
        <v>166</v>
      </c>
      <c r="C131" s="2" t="s">
        <v>14</v>
      </c>
      <c r="D131" s="2" t="s">
        <v>15</v>
      </c>
      <c r="E131" s="2" t="s">
        <v>20</v>
      </c>
      <c r="F131" s="3" t="n">
        <v>210</v>
      </c>
      <c r="G131" s="2" t="n">
        <v>17</v>
      </c>
      <c r="H131" s="4" t="n">
        <v>0</v>
      </c>
      <c r="I131" s="3" t="n">
        <f aca="false">IF(G131="","",ROUND(F131*(100-G131)/100,0))</f>
        <v>174</v>
      </c>
      <c r="J131" s="2" t="str">
        <f aca="false">IF(G131="","Needs KD",IF(D131&lt;&gt;"Client","Not a buyer",IF(AND(G131&lt;=25,F131&gt;=500),"P1 Quick Win",IF(AND(G131&lt;=35,F131&gt;=200),"P2 High Value",IF(G131&lt;=50,"P3 Build","P4 Long Term")))))</f>
        <v>P2 High Value</v>
      </c>
      <c r="K131" s="2" t="s">
        <v>41</v>
      </c>
      <c r="L131" s="2" t="s">
        <v>18</v>
      </c>
      <c r="M131" s="2"/>
    </row>
    <row r="132" customFormat="false" ht="15" hidden="false" customHeight="false" outlineLevel="0" collapsed="false">
      <c r="A132" s="2" t="n">
        <v>131</v>
      </c>
      <c r="B132" s="2" t="s">
        <v>167</v>
      </c>
      <c r="C132" s="2" t="s">
        <v>14</v>
      </c>
      <c r="D132" s="2" t="s">
        <v>15</v>
      </c>
      <c r="E132" s="2" t="s">
        <v>20</v>
      </c>
      <c r="F132" s="3" t="n">
        <v>210</v>
      </c>
      <c r="G132" s="2" t="n">
        <v>21</v>
      </c>
      <c r="H132" s="4" t="n">
        <v>0</v>
      </c>
      <c r="I132" s="3" t="n">
        <f aca="false">IF(G132="","",ROUND(F132*(100-G132)/100,0))</f>
        <v>166</v>
      </c>
      <c r="J132" s="2" t="str">
        <f aca="false">IF(G132="","Needs KD",IF(D132&lt;&gt;"Client","Not a buyer",IF(AND(G132&lt;=25,F132&gt;=500),"P1 Quick Win",IF(AND(G132&lt;=35,F132&gt;=200),"P2 High Value",IF(G132&lt;=50,"P3 Build","P4 Long Term")))))</f>
        <v>P2 High Value</v>
      </c>
      <c r="K132" s="2" t="s">
        <v>41</v>
      </c>
      <c r="L132" s="2" t="s">
        <v>18</v>
      </c>
      <c r="M132" s="2"/>
    </row>
    <row r="133" customFormat="false" ht="15" hidden="false" customHeight="false" outlineLevel="0" collapsed="false">
      <c r="A133" s="2" t="n">
        <v>132</v>
      </c>
      <c r="B133" s="2" t="s">
        <v>168</v>
      </c>
      <c r="C133" s="2" t="s">
        <v>14</v>
      </c>
      <c r="D133" s="2" t="s">
        <v>15</v>
      </c>
      <c r="E133" s="2" t="s">
        <v>20</v>
      </c>
      <c r="F133" s="3" t="n">
        <v>210</v>
      </c>
      <c r="G133" s="2" t="n">
        <v>40</v>
      </c>
      <c r="H133" s="4" t="n">
        <v>0.52</v>
      </c>
      <c r="I133" s="3" t="n">
        <f aca="false">IF(G133="","",ROUND(F133*(100-G133)/100,0))</f>
        <v>126</v>
      </c>
      <c r="J133" s="2" t="str">
        <f aca="false">IF(G133="","Needs KD",IF(D133&lt;&gt;"Client","Not a buyer",IF(AND(G133&lt;=25,F133&gt;=500),"P1 Quick Win",IF(AND(G133&lt;=35,F133&gt;=200),"P2 High Value",IF(G133&lt;=50,"P3 Build","P4 Long Term")))))</f>
        <v>P3 Build</v>
      </c>
      <c r="K133" s="2" t="s">
        <v>41</v>
      </c>
      <c r="L133" s="2" t="s">
        <v>18</v>
      </c>
      <c r="M133" s="2"/>
    </row>
    <row r="134" customFormat="false" ht="15" hidden="false" customHeight="false" outlineLevel="0" collapsed="false">
      <c r="A134" s="2" t="n">
        <v>133</v>
      </c>
      <c r="B134" s="2" t="s">
        <v>169</v>
      </c>
      <c r="C134" s="2" t="s">
        <v>14</v>
      </c>
      <c r="D134" s="2" t="s">
        <v>15</v>
      </c>
      <c r="E134" s="2" t="s">
        <v>20</v>
      </c>
      <c r="F134" s="3" t="n">
        <v>210</v>
      </c>
      <c r="G134" s="2" t="n">
        <v>38</v>
      </c>
      <c r="H134" s="4" t="n">
        <v>0.08</v>
      </c>
      <c r="I134" s="3" t="n">
        <f aca="false">IF(G134="","",ROUND(F134*(100-G134)/100,0))</f>
        <v>130</v>
      </c>
      <c r="J134" s="2" t="str">
        <f aca="false">IF(G134="","Needs KD",IF(D134&lt;&gt;"Client","Not a buyer",IF(AND(G134&lt;=25,F134&gt;=500),"P1 Quick Win",IF(AND(G134&lt;=35,F134&gt;=200),"P2 High Value",IF(G134&lt;=50,"P3 Build","P4 Long Term")))))</f>
        <v>P3 Build</v>
      </c>
      <c r="K134" s="2" t="s">
        <v>17</v>
      </c>
      <c r="L134" s="2" t="s">
        <v>18</v>
      </c>
      <c r="M134" s="2"/>
    </row>
    <row r="135" customFormat="false" ht="15" hidden="false" customHeight="false" outlineLevel="0" collapsed="false">
      <c r="A135" s="2" t="n">
        <v>134</v>
      </c>
      <c r="B135" s="2" t="s">
        <v>170</v>
      </c>
      <c r="C135" s="2" t="s">
        <v>14</v>
      </c>
      <c r="D135" s="2" t="s">
        <v>15</v>
      </c>
      <c r="E135" s="2" t="s">
        <v>20</v>
      </c>
      <c r="F135" s="3" t="n">
        <v>210</v>
      </c>
      <c r="G135" s="2" t="n">
        <v>47</v>
      </c>
      <c r="H135" s="4" t="n">
        <v>0.07</v>
      </c>
      <c r="I135" s="3" t="n">
        <f aca="false">IF(G135="","",ROUND(F135*(100-G135)/100,0))</f>
        <v>111</v>
      </c>
      <c r="J135" s="2" t="str">
        <f aca="false">IF(G135="","Needs KD",IF(D135&lt;&gt;"Client","Not a buyer",IF(AND(G135&lt;=25,F135&gt;=500),"P1 Quick Win",IF(AND(G135&lt;=35,F135&gt;=200),"P2 High Value",IF(G135&lt;=50,"P3 Build","P4 Long Term")))))</f>
        <v>P3 Build</v>
      </c>
      <c r="K135" s="2" t="s">
        <v>17</v>
      </c>
      <c r="L135" s="2" t="s">
        <v>18</v>
      </c>
      <c r="M135" s="2"/>
    </row>
    <row r="136" customFormat="false" ht="15" hidden="false" customHeight="false" outlineLevel="0" collapsed="false">
      <c r="A136" s="2" t="n">
        <v>135</v>
      </c>
      <c r="B136" s="2" t="s">
        <v>171</v>
      </c>
      <c r="C136" s="2" t="s">
        <v>14</v>
      </c>
      <c r="D136" s="2" t="s">
        <v>15</v>
      </c>
      <c r="E136" s="2" t="s">
        <v>20</v>
      </c>
      <c r="F136" s="3" t="n">
        <v>210</v>
      </c>
      <c r="G136" s="2" t="n">
        <v>28</v>
      </c>
      <c r="H136" s="4" t="n">
        <v>0</v>
      </c>
      <c r="I136" s="3" t="n">
        <f aca="false">IF(G136="","",ROUND(F136*(100-G136)/100,0))</f>
        <v>151</v>
      </c>
      <c r="J136" s="2" t="str">
        <f aca="false">IF(G136="","Needs KD",IF(D136&lt;&gt;"Client","Not a buyer",IF(AND(G136&lt;=25,F136&gt;=500),"P1 Quick Win",IF(AND(G136&lt;=35,F136&gt;=200),"P2 High Value",IF(G136&lt;=50,"P3 Build","P4 Long Term")))))</f>
        <v>P2 High Value</v>
      </c>
      <c r="K136" s="2" t="s">
        <v>17</v>
      </c>
      <c r="L136" s="2" t="s">
        <v>18</v>
      </c>
      <c r="M136" s="2"/>
    </row>
    <row r="137" customFormat="false" ht="15" hidden="false" customHeight="false" outlineLevel="0" collapsed="false">
      <c r="A137" s="2" t="n">
        <v>136</v>
      </c>
      <c r="B137" s="2" t="s">
        <v>172</v>
      </c>
      <c r="C137" s="2" t="s">
        <v>14</v>
      </c>
      <c r="D137" s="2" t="s">
        <v>15</v>
      </c>
      <c r="E137" s="2" t="s">
        <v>20</v>
      </c>
      <c r="F137" s="3" t="n">
        <v>210</v>
      </c>
      <c r="G137" s="2" t="n">
        <v>21</v>
      </c>
      <c r="H137" s="4" t="n">
        <v>0.28</v>
      </c>
      <c r="I137" s="3" t="n">
        <f aca="false">IF(G137="","",ROUND(F137*(100-G137)/100,0))</f>
        <v>166</v>
      </c>
      <c r="J137" s="2" t="str">
        <f aca="false">IF(G137="","Needs KD",IF(D137&lt;&gt;"Client","Not a buyer",IF(AND(G137&lt;=25,F137&gt;=500),"P1 Quick Win",IF(AND(G137&lt;=35,F137&gt;=200),"P2 High Value",IF(G137&lt;=50,"P3 Build","P4 Long Term")))))</f>
        <v>P2 High Value</v>
      </c>
      <c r="K137" s="2" t="s">
        <v>173</v>
      </c>
      <c r="L137" s="2" t="s">
        <v>18</v>
      </c>
      <c r="M137" s="2"/>
    </row>
    <row r="138" customFormat="false" ht="15" hidden="false" customHeight="false" outlineLevel="0" collapsed="false">
      <c r="A138" s="5" t="n">
        <v>137</v>
      </c>
      <c r="B138" s="5" t="s">
        <v>174</v>
      </c>
      <c r="C138" s="5" t="s">
        <v>14</v>
      </c>
      <c r="D138" s="5" t="s">
        <v>62</v>
      </c>
      <c r="E138" s="5" t="s">
        <v>16</v>
      </c>
      <c r="F138" s="6" t="n">
        <v>210</v>
      </c>
      <c r="G138" s="5" t="n">
        <v>65</v>
      </c>
      <c r="H138" s="7" t="n">
        <v>0.79</v>
      </c>
      <c r="I138" s="6" t="n">
        <f aca="false">IF(G138="","",ROUND(F138*(100-G138)/100,0))</f>
        <v>74</v>
      </c>
      <c r="J138" s="5" t="str">
        <f aca="false">IF(G138="","Needs KD",IF(D138&lt;&gt;"Client","Not a buyer",IF(AND(G138&lt;=25,F138&gt;=500),"P1 Quick Win",IF(AND(G138&lt;=35,F138&gt;=200),"P2 High Value",IF(G138&lt;=50,"P3 Build","P4 Long Term")))))</f>
        <v>Not a buyer</v>
      </c>
      <c r="K138" s="5" t="s">
        <v>83</v>
      </c>
      <c r="L138" s="5" t="s">
        <v>18</v>
      </c>
      <c r="M138" s="5"/>
    </row>
    <row r="139" customFormat="false" ht="15" hidden="false" customHeight="false" outlineLevel="0" collapsed="false">
      <c r="A139" s="2" t="n">
        <v>138</v>
      </c>
      <c r="B139" s="2" t="s">
        <v>175</v>
      </c>
      <c r="C139" s="2" t="s">
        <v>14</v>
      </c>
      <c r="D139" s="2" t="s">
        <v>15</v>
      </c>
      <c r="E139" s="2" t="s">
        <v>16</v>
      </c>
      <c r="F139" s="3" t="n">
        <v>170</v>
      </c>
      <c r="G139" s="2" t="n">
        <v>29</v>
      </c>
      <c r="H139" s="4" t="n">
        <v>0</v>
      </c>
      <c r="I139" s="3" t="n">
        <f aca="false">IF(G139="","",ROUND(F139*(100-G139)/100,0))</f>
        <v>121</v>
      </c>
      <c r="J139" s="2" t="str">
        <f aca="false">IF(G139="","Needs KD",IF(D139&lt;&gt;"Client","Not a buyer",IF(AND(G139&lt;=25,F139&gt;=500),"P1 Quick Win",IF(AND(G139&lt;=35,F139&gt;=200),"P2 High Value",IF(G139&lt;=50,"P3 Build","P4 Long Term")))))</f>
        <v>P3 Build</v>
      </c>
      <c r="K139" s="2" t="s">
        <v>23</v>
      </c>
      <c r="L139" s="2" t="s">
        <v>18</v>
      </c>
      <c r="M139" s="2"/>
    </row>
    <row r="140" customFormat="false" ht="15" hidden="false" customHeight="false" outlineLevel="0" collapsed="false">
      <c r="A140" s="2" t="n">
        <v>139</v>
      </c>
      <c r="B140" s="2" t="s">
        <v>176</v>
      </c>
      <c r="C140" s="2" t="s">
        <v>14</v>
      </c>
      <c r="D140" s="2" t="s">
        <v>15</v>
      </c>
      <c r="E140" s="2" t="s">
        <v>56</v>
      </c>
      <c r="F140" s="3" t="n">
        <v>170</v>
      </c>
      <c r="G140" s="2" t="n">
        <v>50</v>
      </c>
      <c r="H140" s="4" t="n">
        <v>0.58</v>
      </c>
      <c r="I140" s="3" t="n">
        <f aca="false">IF(G140="","",ROUND(F140*(100-G140)/100,0))</f>
        <v>85</v>
      </c>
      <c r="J140" s="2" t="str">
        <f aca="false">IF(G140="","Needs KD",IF(D140&lt;&gt;"Client","Not a buyer",IF(AND(G140&lt;=25,F140&gt;=500),"P1 Quick Win",IF(AND(G140&lt;=35,F140&gt;=200),"P2 High Value",IF(G140&lt;=50,"P3 Build","P4 Long Term")))))</f>
        <v>P3 Build</v>
      </c>
      <c r="K140" s="2" t="s">
        <v>23</v>
      </c>
      <c r="L140" s="2" t="s">
        <v>18</v>
      </c>
      <c r="M140" s="2"/>
    </row>
    <row r="141" customFormat="false" ht="15" hidden="false" customHeight="false" outlineLevel="0" collapsed="false">
      <c r="A141" s="2" t="n">
        <v>140</v>
      </c>
      <c r="B141" s="2" t="s">
        <v>177</v>
      </c>
      <c r="C141" s="2" t="s">
        <v>14</v>
      </c>
      <c r="D141" s="2" t="s">
        <v>15</v>
      </c>
      <c r="E141" s="2" t="s">
        <v>20</v>
      </c>
      <c r="F141" s="3" t="n">
        <v>170</v>
      </c>
      <c r="G141" s="2" t="n">
        <v>49</v>
      </c>
      <c r="H141" s="4" t="n">
        <v>0.69</v>
      </c>
      <c r="I141" s="3" t="n">
        <f aca="false">IF(G141="","",ROUND(F141*(100-G141)/100,0))</f>
        <v>87</v>
      </c>
      <c r="J141" s="2" t="str">
        <f aca="false">IF(G141="","Needs KD",IF(D141&lt;&gt;"Client","Not a buyer",IF(AND(G141&lt;=25,F141&gt;=500),"P1 Quick Win",IF(AND(G141&lt;=35,F141&gt;=200),"P2 High Value",IF(G141&lt;=50,"P3 Build","P4 Long Term")))))</f>
        <v>P3 Build</v>
      </c>
      <c r="K141" s="2" t="s">
        <v>37</v>
      </c>
      <c r="L141" s="2" t="s">
        <v>18</v>
      </c>
      <c r="M141" s="2"/>
    </row>
    <row r="142" customFormat="false" ht="15" hidden="false" customHeight="false" outlineLevel="0" collapsed="false">
      <c r="A142" s="2" t="n">
        <v>141</v>
      </c>
      <c r="B142" s="2" t="s">
        <v>178</v>
      </c>
      <c r="C142" s="2" t="s">
        <v>14</v>
      </c>
      <c r="D142" s="2" t="s">
        <v>15</v>
      </c>
      <c r="E142" s="2" t="s">
        <v>20</v>
      </c>
      <c r="F142" s="3" t="n">
        <v>170</v>
      </c>
      <c r="G142" s="2" t="n">
        <v>47</v>
      </c>
      <c r="H142" s="4" t="n">
        <v>0.87</v>
      </c>
      <c r="I142" s="3" t="n">
        <f aca="false">IF(G142="","",ROUND(F142*(100-G142)/100,0))</f>
        <v>90</v>
      </c>
      <c r="J142" s="2" t="str">
        <f aca="false">IF(G142="","Needs KD",IF(D142&lt;&gt;"Client","Not a buyer",IF(AND(G142&lt;=25,F142&gt;=500),"P1 Quick Win",IF(AND(G142&lt;=35,F142&gt;=200),"P2 High Value",IF(G142&lt;=50,"P3 Build","P4 Long Term")))))</f>
        <v>P3 Build</v>
      </c>
      <c r="K142" s="2" t="s">
        <v>37</v>
      </c>
      <c r="L142" s="2" t="s">
        <v>18</v>
      </c>
      <c r="M142" s="2"/>
    </row>
    <row r="143" customFormat="false" ht="15" hidden="false" customHeight="false" outlineLevel="0" collapsed="false">
      <c r="A143" s="2" t="n">
        <v>142</v>
      </c>
      <c r="B143" s="2" t="s">
        <v>179</v>
      </c>
      <c r="C143" s="2" t="s">
        <v>14</v>
      </c>
      <c r="D143" s="2" t="s">
        <v>15</v>
      </c>
      <c r="E143" s="2" t="s">
        <v>20</v>
      </c>
      <c r="F143" s="3" t="n">
        <v>170</v>
      </c>
      <c r="G143" s="2" t="n">
        <v>51</v>
      </c>
      <c r="H143" s="4" t="n">
        <v>0.63</v>
      </c>
      <c r="I143" s="3" t="n">
        <f aca="false">IF(G143="","",ROUND(F143*(100-G143)/100,0))</f>
        <v>83</v>
      </c>
      <c r="J143" s="2" t="str">
        <f aca="false">IF(G143="","Needs KD",IF(D143&lt;&gt;"Client","Not a buyer",IF(AND(G143&lt;=25,F143&gt;=500),"P1 Quick Win",IF(AND(G143&lt;=35,F143&gt;=200),"P2 High Value",IF(G143&lt;=50,"P3 Build","P4 Long Term")))))</f>
        <v>P4 Long Term</v>
      </c>
      <c r="K143" s="2" t="s">
        <v>37</v>
      </c>
      <c r="L143" s="2" t="s">
        <v>18</v>
      </c>
      <c r="M143" s="2"/>
    </row>
    <row r="144" customFormat="false" ht="15" hidden="false" customHeight="false" outlineLevel="0" collapsed="false">
      <c r="A144" s="2" t="n">
        <v>143</v>
      </c>
      <c r="B144" s="2" t="s">
        <v>180</v>
      </c>
      <c r="C144" s="2" t="s">
        <v>14</v>
      </c>
      <c r="D144" s="2" t="s">
        <v>15</v>
      </c>
      <c r="E144" s="2" t="s">
        <v>20</v>
      </c>
      <c r="F144" s="3" t="n">
        <v>170</v>
      </c>
      <c r="G144" s="2" t="n">
        <v>36</v>
      </c>
      <c r="H144" s="4" t="n">
        <v>0.2</v>
      </c>
      <c r="I144" s="3" t="n">
        <f aca="false">IF(G144="","",ROUND(F144*(100-G144)/100,0))</f>
        <v>109</v>
      </c>
      <c r="J144" s="2" t="str">
        <f aca="false">IF(G144="","Needs KD",IF(D144&lt;&gt;"Client","Not a buyer",IF(AND(G144&lt;=25,F144&gt;=500),"P1 Quick Win",IF(AND(G144&lt;=35,F144&gt;=200),"P2 High Value",IF(G144&lt;=50,"P3 Build","P4 Long Term")))))</f>
        <v>P3 Build</v>
      </c>
      <c r="K144" s="2" t="s">
        <v>37</v>
      </c>
      <c r="L144" s="2" t="s">
        <v>18</v>
      </c>
      <c r="M144" s="2"/>
    </row>
    <row r="145" customFormat="false" ht="15" hidden="false" customHeight="false" outlineLevel="0" collapsed="false">
      <c r="A145" s="2" t="n">
        <v>144</v>
      </c>
      <c r="B145" s="2" t="s">
        <v>181</v>
      </c>
      <c r="C145" s="2" t="s">
        <v>14</v>
      </c>
      <c r="D145" s="2" t="s">
        <v>15</v>
      </c>
      <c r="E145" s="2" t="s">
        <v>20</v>
      </c>
      <c r="F145" s="3" t="n">
        <v>170</v>
      </c>
      <c r="G145" s="2" t="n">
        <v>39</v>
      </c>
      <c r="H145" s="4" t="n">
        <v>0.13</v>
      </c>
      <c r="I145" s="3" t="n">
        <f aca="false">IF(G145="","",ROUND(F145*(100-G145)/100,0))</f>
        <v>104</v>
      </c>
      <c r="J145" s="2" t="str">
        <f aca="false">IF(G145="","Needs KD",IF(D145&lt;&gt;"Client","Not a buyer",IF(AND(G145&lt;=25,F145&gt;=500),"P1 Quick Win",IF(AND(G145&lt;=35,F145&gt;=200),"P2 High Value",IF(G145&lt;=50,"P3 Build","P4 Long Term")))))</f>
        <v>P3 Build</v>
      </c>
      <c r="K145" s="2" t="s">
        <v>37</v>
      </c>
      <c r="L145" s="2" t="s">
        <v>18</v>
      </c>
      <c r="M145" s="2"/>
    </row>
    <row r="146" customFormat="false" ht="15" hidden="false" customHeight="false" outlineLevel="0" collapsed="false">
      <c r="A146" s="2" t="n">
        <v>145</v>
      </c>
      <c r="B146" s="2" t="s">
        <v>182</v>
      </c>
      <c r="C146" s="2" t="s">
        <v>14</v>
      </c>
      <c r="D146" s="2" t="s">
        <v>15</v>
      </c>
      <c r="E146" s="2" t="s">
        <v>20</v>
      </c>
      <c r="F146" s="3" t="n">
        <v>170</v>
      </c>
      <c r="G146" s="2" t="n">
        <v>36</v>
      </c>
      <c r="H146" s="4" t="n">
        <v>0.18</v>
      </c>
      <c r="I146" s="3" t="n">
        <f aca="false">IF(G146="","",ROUND(F146*(100-G146)/100,0))</f>
        <v>109</v>
      </c>
      <c r="J146" s="2" t="str">
        <f aca="false">IF(G146="","Needs KD",IF(D146&lt;&gt;"Client","Not a buyer",IF(AND(G146&lt;=25,F146&gt;=500),"P1 Quick Win",IF(AND(G146&lt;=35,F146&gt;=200),"P2 High Value",IF(G146&lt;=50,"P3 Build","P4 Long Term")))))</f>
        <v>P3 Build</v>
      </c>
      <c r="K146" s="2" t="s">
        <v>21</v>
      </c>
      <c r="L146" s="2" t="s">
        <v>18</v>
      </c>
      <c r="M146" s="2"/>
    </row>
    <row r="147" customFormat="false" ht="15" hidden="false" customHeight="false" outlineLevel="0" collapsed="false">
      <c r="A147" s="2" t="n">
        <v>146</v>
      </c>
      <c r="B147" s="2" t="s">
        <v>183</v>
      </c>
      <c r="C147" s="2" t="s">
        <v>14</v>
      </c>
      <c r="D147" s="2" t="s">
        <v>15</v>
      </c>
      <c r="E147" s="2" t="s">
        <v>20</v>
      </c>
      <c r="F147" s="3" t="n">
        <v>170</v>
      </c>
      <c r="G147" s="2" t="n">
        <v>34</v>
      </c>
      <c r="H147" s="4" t="n">
        <v>0.09</v>
      </c>
      <c r="I147" s="3" t="n">
        <f aca="false">IF(G147="","",ROUND(F147*(100-G147)/100,0))</f>
        <v>112</v>
      </c>
      <c r="J147" s="2" t="str">
        <f aca="false">IF(G147="","Needs KD",IF(D147&lt;&gt;"Client","Not a buyer",IF(AND(G147&lt;=25,F147&gt;=500),"P1 Quick Win",IF(AND(G147&lt;=35,F147&gt;=200),"P2 High Value",IF(G147&lt;=50,"P3 Build","P4 Long Term")))))</f>
        <v>P3 Build</v>
      </c>
      <c r="K147" s="2" t="s">
        <v>21</v>
      </c>
      <c r="L147" s="2" t="s">
        <v>18</v>
      </c>
      <c r="M147" s="2"/>
    </row>
    <row r="148" customFormat="false" ht="15" hidden="false" customHeight="false" outlineLevel="0" collapsed="false">
      <c r="A148" s="2" t="n">
        <v>147</v>
      </c>
      <c r="B148" s="2" t="s">
        <v>184</v>
      </c>
      <c r="C148" s="2" t="s">
        <v>14</v>
      </c>
      <c r="D148" s="2" t="s">
        <v>15</v>
      </c>
      <c r="E148" s="2" t="s">
        <v>20</v>
      </c>
      <c r="F148" s="3" t="n">
        <v>170</v>
      </c>
      <c r="G148" s="2" t="n">
        <v>45</v>
      </c>
      <c r="H148" s="4" t="n">
        <v>0.23</v>
      </c>
      <c r="I148" s="3" t="n">
        <f aca="false">IF(G148="","",ROUND(F148*(100-G148)/100,0))</f>
        <v>94</v>
      </c>
      <c r="J148" s="2" t="str">
        <f aca="false">IF(G148="","Needs KD",IF(D148&lt;&gt;"Client","Not a buyer",IF(AND(G148&lt;=25,F148&gt;=500),"P1 Quick Win",IF(AND(G148&lt;=35,F148&gt;=200),"P2 High Value",IF(G148&lt;=50,"P3 Build","P4 Long Term")))))</f>
        <v>P3 Build</v>
      </c>
      <c r="K148" s="2" t="s">
        <v>21</v>
      </c>
      <c r="L148" s="2" t="s">
        <v>18</v>
      </c>
      <c r="M148" s="2"/>
    </row>
    <row r="149" customFormat="false" ht="15" hidden="false" customHeight="false" outlineLevel="0" collapsed="false">
      <c r="A149" s="2" t="n">
        <v>148</v>
      </c>
      <c r="B149" s="2" t="s">
        <v>185</v>
      </c>
      <c r="C149" s="2" t="s">
        <v>14</v>
      </c>
      <c r="D149" s="2" t="s">
        <v>15</v>
      </c>
      <c r="E149" s="2" t="s">
        <v>20</v>
      </c>
      <c r="F149" s="3" t="n">
        <v>170</v>
      </c>
      <c r="G149" s="2" t="n">
        <v>66</v>
      </c>
      <c r="H149" s="4" t="n">
        <v>0.78</v>
      </c>
      <c r="I149" s="3" t="n">
        <f aca="false">IF(G149="","",ROUND(F149*(100-G149)/100,0))</f>
        <v>58</v>
      </c>
      <c r="J149" s="2" t="str">
        <f aca="false">IF(G149="","Needs KD",IF(D149&lt;&gt;"Client","Not a buyer",IF(AND(G149&lt;=25,F149&gt;=500),"P1 Quick Win",IF(AND(G149&lt;=35,F149&gt;=200),"P2 High Value",IF(G149&lt;=50,"P3 Build","P4 Long Term")))))</f>
        <v>P4 Long Term</v>
      </c>
      <c r="K149" s="2" t="s">
        <v>21</v>
      </c>
      <c r="L149" s="2" t="s">
        <v>18</v>
      </c>
      <c r="M149" s="2"/>
    </row>
    <row r="150" customFormat="false" ht="15" hidden="false" customHeight="false" outlineLevel="0" collapsed="false">
      <c r="A150" s="2" t="n">
        <v>149</v>
      </c>
      <c r="B150" s="2" t="s">
        <v>186</v>
      </c>
      <c r="C150" s="2" t="s">
        <v>14</v>
      </c>
      <c r="D150" s="2" t="s">
        <v>15</v>
      </c>
      <c r="E150" s="2" t="s">
        <v>20</v>
      </c>
      <c r="F150" s="3" t="n">
        <v>170</v>
      </c>
      <c r="G150" s="2" t="n">
        <v>26</v>
      </c>
      <c r="H150" s="4" t="n">
        <v>0</v>
      </c>
      <c r="I150" s="3" t="n">
        <f aca="false">IF(G150="","",ROUND(F150*(100-G150)/100,0))</f>
        <v>126</v>
      </c>
      <c r="J150" s="2" t="str">
        <f aca="false">IF(G150="","Needs KD",IF(D150&lt;&gt;"Client","Not a buyer",IF(AND(G150&lt;=25,F150&gt;=500),"P1 Quick Win",IF(AND(G150&lt;=35,F150&gt;=200),"P2 High Value",IF(G150&lt;=50,"P3 Build","P4 Long Term")))))</f>
        <v>P3 Build</v>
      </c>
      <c r="K150" s="2" t="s">
        <v>41</v>
      </c>
      <c r="L150" s="2" t="s">
        <v>18</v>
      </c>
      <c r="M150" s="2"/>
    </row>
    <row r="151" customFormat="false" ht="15" hidden="false" customHeight="false" outlineLevel="0" collapsed="false">
      <c r="A151" s="2" t="n">
        <v>150</v>
      </c>
      <c r="B151" s="2" t="s">
        <v>187</v>
      </c>
      <c r="C151" s="2" t="s">
        <v>14</v>
      </c>
      <c r="D151" s="2" t="s">
        <v>15</v>
      </c>
      <c r="E151" s="2" t="s">
        <v>20</v>
      </c>
      <c r="F151" s="3" t="n">
        <v>170</v>
      </c>
      <c r="G151" s="2" t="n">
        <v>22</v>
      </c>
      <c r="H151" s="4" t="n">
        <v>0.33</v>
      </c>
      <c r="I151" s="3" t="n">
        <f aca="false">IF(G151="","",ROUND(F151*(100-G151)/100,0))</f>
        <v>133</v>
      </c>
      <c r="J151" s="2" t="str">
        <f aca="false">IF(G151="","Needs KD",IF(D151&lt;&gt;"Client","Not a buyer",IF(AND(G151&lt;=25,F151&gt;=500),"P1 Quick Win",IF(AND(G151&lt;=35,F151&gt;=200),"P2 High Value",IF(G151&lt;=50,"P3 Build","P4 Long Term")))))</f>
        <v>P3 Build</v>
      </c>
      <c r="K151" s="2" t="s">
        <v>41</v>
      </c>
      <c r="L151" s="2" t="s">
        <v>18</v>
      </c>
      <c r="M151" s="2"/>
    </row>
    <row r="152" customFormat="false" ht="15" hidden="false" customHeight="false" outlineLevel="0" collapsed="false">
      <c r="A152" s="2" t="n">
        <v>151</v>
      </c>
      <c r="B152" s="2" t="s">
        <v>188</v>
      </c>
      <c r="C152" s="2" t="s">
        <v>14</v>
      </c>
      <c r="D152" s="2" t="s">
        <v>15</v>
      </c>
      <c r="E152" s="2" t="s">
        <v>20</v>
      </c>
      <c r="F152" s="3" t="n">
        <v>170</v>
      </c>
      <c r="G152" s="2" t="n">
        <v>17</v>
      </c>
      <c r="H152" s="4" t="n">
        <v>0.42</v>
      </c>
      <c r="I152" s="3" t="n">
        <f aca="false">IF(G152="","",ROUND(F152*(100-G152)/100,0))</f>
        <v>141</v>
      </c>
      <c r="J152" s="2" t="str">
        <f aca="false">IF(G152="","Needs KD",IF(D152&lt;&gt;"Client","Not a buyer",IF(AND(G152&lt;=25,F152&gt;=500),"P1 Quick Win",IF(AND(G152&lt;=35,F152&gt;=200),"P2 High Value",IF(G152&lt;=50,"P3 Build","P4 Long Term")))))</f>
        <v>P3 Build</v>
      </c>
      <c r="K152" s="2" t="s">
        <v>41</v>
      </c>
      <c r="L152" s="2" t="s">
        <v>18</v>
      </c>
      <c r="M152" s="2"/>
    </row>
    <row r="153" customFormat="false" ht="15" hidden="false" customHeight="false" outlineLevel="0" collapsed="false">
      <c r="A153" s="2" t="n">
        <v>152</v>
      </c>
      <c r="B153" s="2" t="s">
        <v>189</v>
      </c>
      <c r="C153" s="2" t="s">
        <v>14</v>
      </c>
      <c r="D153" s="2" t="s">
        <v>15</v>
      </c>
      <c r="E153" s="2" t="s">
        <v>20</v>
      </c>
      <c r="F153" s="3" t="n">
        <v>170</v>
      </c>
      <c r="G153" s="2" t="n">
        <v>27</v>
      </c>
      <c r="H153" s="4" t="n">
        <v>0.56</v>
      </c>
      <c r="I153" s="3" t="n">
        <f aca="false">IF(G153="","",ROUND(F153*(100-G153)/100,0))</f>
        <v>124</v>
      </c>
      <c r="J153" s="2" t="str">
        <f aca="false">IF(G153="","Needs KD",IF(D153&lt;&gt;"Client","Not a buyer",IF(AND(G153&lt;=25,F153&gt;=500),"P1 Quick Win",IF(AND(G153&lt;=35,F153&gt;=200),"P2 High Value",IF(G153&lt;=50,"P3 Build","P4 Long Term")))))</f>
        <v>P3 Build</v>
      </c>
      <c r="K153" s="2" t="s">
        <v>173</v>
      </c>
      <c r="L153" s="2" t="s">
        <v>18</v>
      </c>
      <c r="M153" s="2"/>
    </row>
    <row r="154" customFormat="false" ht="15" hidden="false" customHeight="false" outlineLevel="0" collapsed="false">
      <c r="A154" s="2" t="n">
        <v>153</v>
      </c>
      <c r="B154" s="2" t="s">
        <v>190</v>
      </c>
      <c r="C154" s="2" t="s">
        <v>14</v>
      </c>
      <c r="D154" s="2" t="s">
        <v>15</v>
      </c>
      <c r="E154" s="2" t="s">
        <v>20</v>
      </c>
      <c r="F154" s="3" t="n">
        <v>170</v>
      </c>
      <c r="G154" s="2" t="n">
        <v>23</v>
      </c>
      <c r="H154" s="4" t="n">
        <v>0.64</v>
      </c>
      <c r="I154" s="3" t="n">
        <f aca="false">IF(G154="","",ROUND(F154*(100-G154)/100,0))</f>
        <v>131</v>
      </c>
      <c r="J154" s="2" t="str">
        <f aca="false">IF(G154="","Needs KD",IF(D154&lt;&gt;"Client","Not a buyer",IF(AND(G154&lt;=25,F154&gt;=500),"P1 Quick Win",IF(AND(G154&lt;=35,F154&gt;=200),"P2 High Value",IF(G154&lt;=50,"P3 Build","P4 Long Term")))))</f>
        <v>P3 Build</v>
      </c>
      <c r="K154" s="2" t="s">
        <v>45</v>
      </c>
      <c r="L154" s="2" t="s">
        <v>18</v>
      </c>
      <c r="M154" s="2"/>
    </row>
    <row r="155" customFormat="false" ht="15" hidden="false" customHeight="false" outlineLevel="0" collapsed="false">
      <c r="A155" s="2" t="n">
        <v>154</v>
      </c>
      <c r="B155" s="2" t="s">
        <v>191</v>
      </c>
      <c r="C155" s="2" t="s">
        <v>14</v>
      </c>
      <c r="D155" s="2" t="s">
        <v>15</v>
      </c>
      <c r="E155" s="2" t="s">
        <v>44</v>
      </c>
      <c r="F155" s="3" t="n">
        <v>170</v>
      </c>
      <c r="G155" s="2" t="n">
        <v>26</v>
      </c>
      <c r="H155" s="4" t="n">
        <v>0.76</v>
      </c>
      <c r="I155" s="3" t="n">
        <f aca="false">IF(G155="","",ROUND(F155*(100-G155)/100,0))</f>
        <v>126</v>
      </c>
      <c r="J155" s="2" t="str">
        <f aca="false">IF(G155="","Needs KD",IF(D155&lt;&gt;"Client","Not a buyer",IF(AND(G155&lt;=25,F155&gt;=500),"P1 Quick Win",IF(AND(G155&lt;=35,F155&gt;=200),"P2 High Value",IF(G155&lt;=50,"P3 Build","P4 Long Term")))))</f>
        <v>P3 Build</v>
      </c>
      <c r="K155" s="2" t="s">
        <v>45</v>
      </c>
      <c r="L155" s="2" t="s">
        <v>18</v>
      </c>
      <c r="M155" s="2"/>
    </row>
    <row r="156" customFormat="false" ht="15" hidden="false" customHeight="false" outlineLevel="0" collapsed="false">
      <c r="A156" s="2" t="n">
        <v>155</v>
      </c>
      <c r="B156" s="2" t="s">
        <v>192</v>
      </c>
      <c r="C156" s="2" t="s">
        <v>14</v>
      </c>
      <c r="D156" s="2" t="s">
        <v>15</v>
      </c>
      <c r="E156" s="2" t="s">
        <v>20</v>
      </c>
      <c r="F156" s="3" t="n">
        <v>170</v>
      </c>
      <c r="G156" s="2" t="n">
        <v>10</v>
      </c>
      <c r="H156" s="4" t="n">
        <v>0</v>
      </c>
      <c r="I156" s="3" t="n">
        <f aca="false">IF(G156="","",ROUND(F156*(100-G156)/100,0))</f>
        <v>153</v>
      </c>
      <c r="J156" s="2" t="str">
        <f aca="false">IF(G156="","Needs KD",IF(D156&lt;&gt;"Client","Not a buyer",IF(AND(G156&lt;=25,F156&gt;=500),"P1 Quick Win",IF(AND(G156&lt;=35,F156&gt;=200),"P2 High Value",IF(G156&lt;=50,"P3 Build","P4 Long Term")))))</f>
        <v>P3 Build</v>
      </c>
      <c r="K156" s="2" t="s">
        <v>81</v>
      </c>
      <c r="L156" s="2" t="s">
        <v>18</v>
      </c>
      <c r="M156" s="2"/>
    </row>
    <row r="157" customFormat="false" ht="15" hidden="false" customHeight="false" outlineLevel="0" collapsed="false">
      <c r="A157" s="5" t="n">
        <v>156</v>
      </c>
      <c r="B157" s="5" t="s">
        <v>193</v>
      </c>
      <c r="C157" s="5" t="s">
        <v>14</v>
      </c>
      <c r="D157" s="5" t="s">
        <v>73</v>
      </c>
      <c r="E157" s="5" t="s">
        <v>20</v>
      </c>
      <c r="F157" s="6" t="n">
        <v>170</v>
      </c>
      <c r="G157" s="5" t="n">
        <v>9</v>
      </c>
      <c r="H157" s="7" t="n">
        <v>0</v>
      </c>
      <c r="I157" s="6" t="n">
        <f aca="false">IF(G157="","",ROUND(F157*(100-G157)/100,0))</f>
        <v>155</v>
      </c>
      <c r="J157" s="5" t="str">
        <f aca="false">IF(G157="","Needs KD",IF(D157&lt;&gt;"Client","Not a buyer",IF(AND(G157&lt;=25,F157&gt;=500),"P1 Quick Win",IF(AND(G157&lt;=35,F157&gt;=200),"P2 High Value",IF(G157&lt;=50,"P3 Build","P4 Long Term")))))</f>
        <v>Not a buyer</v>
      </c>
      <c r="K157" s="5" t="s">
        <v>103</v>
      </c>
      <c r="L157" s="5" t="s">
        <v>18</v>
      </c>
      <c r="M157" s="5"/>
    </row>
    <row r="158" customFormat="false" ht="15" hidden="false" customHeight="false" outlineLevel="0" collapsed="false">
      <c r="A158" s="2" t="n">
        <v>157</v>
      </c>
      <c r="B158" s="2" t="s">
        <v>194</v>
      </c>
      <c r="C158" s="2" t="s">
        <v>14</v>
      </c>
      <c r="D158" s="2" t="s">
        <v>15</v>
      </c>
      <c r="E158" s="2" t="s">
        <v>16</v>
      </c>
      <c r="F158" s="3" t="n">
        <v>170</v>
      </c>
      <c r="G158" s="2" t="n">
        <v>30</v>
      </c>
      <c r="H158" s="4" t="n">
        <v>0</v>
      </c>
      <c r="I158" s="3" t="n">
        <f aca="false">IF(G158="","",ROUND(F158*(100-G158)/100,0))</f>
        <v>119</v>
      </c>
      <c r="J158" s="2" t="str">
        <f aca="false">IF(G158="","Needs KD",IF(D158&lt;&gt;"Client","Not a buyer",IF(AND(G158&lt;=25,F158&gt;=500),"P1 Quick Win",IF(AND(G158&lt;=35,F158&gt;=200),"P2 High Value",IF(G158&lt;=50,"P3 Build","P4 Long Term")))))</f>
        <v>P3 Build</v>
      </c>
      <c r="K158" s="2" t="s">
        <v>103</v>
      </c>
      <c r="L158" s="2" t="s">
        <v>18</v>
      </c>
      <c r="M158" s="2"/>
    </row>
    <row r="159" customFormat="false" ht="15" hidden="false" customHeight="false" outlineLevel="0" collapsed="false">
      <c r="A159" s="2" t="n">
        <v>158</v>
      </c>
      <c r="B159" s="2" t="s">
        <v>195</v>
      </c>
      <c r="C159" s="2" t="s">
        <v>14</v>
      </c>
      <c r="D159" s="2" t="s">
        <v>15</v>
      </c>
      <c r="E159" s="2" t="s">
        <v>20</v>
      </c>
      <c r="F159" s="3" t="n">
        <v>140</v>
      </c>
      <c r="G159" s="2" t="n">
        <v>11</v>
      </c>
      <c r="H159" s="4" t="n">
        <v>0</v>
      </c>
      <c r="I159" s="3" t="n">
        <f aca="false">IF(G159="","",ROUND(F159*(100-G159)/100,0))</f>
        <v>125</v>
      </c>
      <c r="J159" s="2" t="str">
        <f aca="false">IF(G159="","Needs KD",IF(D159&lt;&gt;"Client","Not a buyer",IF(AND(G159&lt;=25,F159&gt;=500),"P1 Quick Win",IF(AND(G159&lt;=35,F159&gt;=200),"P2 High Value",IF(G159&lt;=50,"P3 Build","P4 Long Term")))))</f>
        <v>P3 Build</v>
      </c>
      <c r="K159" s="2" t="s">
        <v>25</v>
      </c>
      <c r="L159" s="2" t="s">
        <v>18</v>
      </c>
      <c r="M159" s="2"/>
    </row>
    <row r="160" customFormat="false" ht="15" hidden="false" customHeight="false" outlineLevel="0" collapsed="false">
      <c r="A160" s="2" t="n">
        <v>159</v>
      </c>
      <c r="B160" s="2" t="s">
        <v>196</v>
      </c>
      <c r="C160" s="2" t="s">
        <v>14</v>
      </c>
      <c r="D160" s="2" t="s">
        <v>15</v>
      </c>
      <c r="E160" s="2" t="s">
        <v>20</v>
      </c>
      <c r="F160" s="3" t="n">
        <v>140</v>
      </c>
      <c r="G160" s="2" t="n">
        <v>23</v>
      </c>
      <c r="H160" s="4" t="n">
        <v>0</v>
      </c>
      <c r="I160" s="3" t="n">
        <f aca="false">IF(G160="","",ROUND(F160*(100-G160)/100,0))</f>
        <v>108</v>
      </c>
      <c r="J160" s="2" t="str">
        <f aca="false">IF(G160="","Needs KD",IF(D160&lt;&gt;"Client","Not a buyer",IF(AND(G160&lt;=25,F160&gt;=500),"P1 Quick Win",IF(AND(G160&lt;=35,F160&gt;=200),"P2 High Value",IF(G160&lt;=50,"P3 Build","P4 Long Term")))))</f>
        <v>P3 Build</v>
      </c>
      <c r="K160" s="2" t="s">
        <v>23</v>
      </c>
      <c r="L160" s="2" t="s">
        <v>18</v>
      </c>
      <c r="M160" s="2"/>
    </row>
    <row r="161" customFormat="false" ht="15" hidden="false" customHeight="false" outlineLevel="0" collapsed="false">
      <c r="A161" s="2" t="n">
        <v>160</v>
      </c>
      <c r="B161" s="2" t="s">
        <v>197</v>
      </c>
      <c r="C161" s="2" t="s">
        <v>14</v>
      </c>
      <c r="D161" s="2" t="s">
        <v>15</v>
      </c>
      <c r="E161" s="2" t="s">
        <v>16</v>
      </c>
      <c r="F161" s="3" t="n">
        <v>140</v>
      </c>
      <c r="G161" s="2" t="n">
        <v>12</v>
      </c>
      <c r="H161" s="4" t="n">
        <v>0</v>
      </c>
      <c r="I161" s="3" t="n">
        <f aca="false">IF(G161="","",ROUND(F161*(100-G161)/100,0))</f>
        <v>123</v>
      </c>
      <c r="J161" s="2" t="str">
        <f aca="false">IF(G161="","Needs KD",IF(D161&lt;&gt;"Client","Not a buyer",IF(AND(G161&lt;=25,F161&gt;=500),"P1 Quick Win",IF(AND(G161&lt;=35,F161&gt;=200),"P2 High Value",IF(G161&lt;=50,"P3 Build","P4 Long Term")))))</f>
        <v>P3 Build</v>
      </c>
      <c r="K161" s="2" t="s">
        <v>23</v>
      </c>
      <c r="L161" s="2" t="s">
        <v>18</v>
      </c>
      <c r="M161" s="2"/>
    </row>
    <row r="162" customFormat="false" ht="15" hidden="false" customHeight="false" outlineLevel="0" collapsed="false">
      <c r="A162" s="2" t="n">
        <v>161</v>
      </c>
      <c r="B162" s="2" t="s">
        <v>198</v>
      </c>
      <c r="C162" s="2" t="s">
        <v>14</v>
      </c>
      <c r="D162" s="2" t="s">
        <v>15</v>
      </c>
      <c r="E162" s="2" t="s">
        <v>20</v>
      </c>
      <c r="F162" s="3" t="n">
        <v>140</v>
      </c>
      <c r="G162" s="2" t="n">
        <v>16</v>
      </c>
      <c r="H162" s="4" t="n">
        <v>0</v>
      </c>
      <c r="I162" s="3" t="n">
        <f aca="false">IF(G162="","",ROUND(F162*(100-G162)/100,0))</f>
        <v>118</v>
      </c>
      <c r="J162" s="2" t="str">
        <f aca="false">IF(G162="","Needs KD",IF(D162&lt;&gt;"Client","Not a buyer",IF(AND(G162&lt;=25,F162&gt;=500),"P1 Quick Win",IF(AND(G162&lt;=35,F162&gt;=200),"P2 High Value",IF(G162&lt;=50,"P3 Build","P4 Long Term")))))</f>
        <v>P3 Build</v>
      </c>
      <c r="K162" s="2" t="s">
        <v>23</v>
      </c>
      <c r="L162" s="2" t="s">
        <v>18</v>
      </c>
      <c r="M162" s="2"/>
    </row>
    <row r="163" customFormat="false" ht="15" hidden="false" customHeight="false" outlineLevel="0" collapsed="false">
      <c r="A163" s="2" t="n">
        <v>162</v>
      </c>
      <c r="B163" s="2" t="s">
        <v>199</v>
      </c>
      <c r="C163" s="2" t="s">
        <v>14</v>
      </c>
      <c r="D163" s="2" t="s">
        <v>15</v>
      </c>
      <c r="E163" s="2" t="s">
        <v>20</v>
      </c>
      <c r="F163" s="3" t="n">
        <v>140</v>
      </c>
      <c r="G163" s="2" t="n">
        <v>29</v>
      </c>
      <c r="H163" s="4" t="n">
        <v>0</v>
      </c>
      <c r="I163" s="3" t="n">
        <f aca="false">IF(G163="","",ROUND(F163*(100-G163)/100,0))</f>
        <v>99</v>
      </c>
      <c r="J163" s="2" t="str">
        <f aca="false">IF(G163="","Needs KD",IF(D163&lt;&gt;"Client","Not a buyer",IF(AND(G163&lt;=25,F163&gt;=500),"P1 Quick Win",IF(AND(G163&lt;=35,F163&gt;=200),"P2 High Value",IF(G163&lt;=50,"P3 Build","P4 Long Term")))))</f>
        <v>P3 Build</v>
      </c>
      <c r="K163" s="2" t="s">
        <v>23</v>
      </c>
      <c r="L163" s="2" t="s">
        <v>18</v>
      </c>
      <c r="M163" s="2"/>
    </row>
    <row r="164" customFormat="false" ht="15" hidden="false" customHeight="false" outlineLevel="0" collapsed="false">
      <c r="A164" s="2" t="n">
        <v>163</v>
      </c>
      <c r="B164" s="2" t="s">
        <v>200</v>
      </c>
      <c r="C164" s="2" t="s">
        <v>14</v>
      </c>
      <c r="D164" s="2" t="s">
        <v>15</v>
      </c>
      <c r="E164" s="2" t="s">
        <v>53</v>
      </c>
      <c r="F164" s="3" t="n">
        <v>140</v>
      </c>
      <c r="G164" s="2" t="n">
        <v>39</v>
      </c>
      <c r="H164" s="4" t="n">
        <v>0</v>
      </c>
      <c r="I164" s="3" t="n">
        <f aca="false">IF(G164="","",ROUND(F164*(100-G164)/100,0))</f>
        <v>85</v>
      </c>
      <c r="J164" s="2" t="str">
        <f aca="false">IF(G164="","Needs KD",IF(D164&lt;&gt;"Client","Not a buyer",IF(AND(G164&lt;=25,F164&gt;=500),"P1 Quick Win",IF(AND(G164&lt;=35,F164&gt;=200),"P2 High Value",IF(G164&lt;=50,"P3 Build","P4 Long Term")))))</f>
        <v>P3 Build</v>
      </c>
      <c r="K164" s="2" t="s">
        <v>23</v>
      </c>
      <c r="L164" s="2" t="s">
        <v>18</v>
      </c>
      <c r="M164" s="2"/>
    </row>
    <row r="165" customFormat="false" ht="15" hidden="false" customHeight="false" outlineLevel="0" collapsed="false">
      <c r="A165" s="2" t="n">
        <v>164</v>
      </c>
      <c r="B165" s="2" t="s">
        <v>201</v>
      </c>
      <c r="C165" s="2" t="s">
        <v>14</v>
      </c>
      <c r="D165" s="2" t="s">
        <v>15</v>
      </c>
      <c r="E165" s="2" t="s">
        <v>20</v>
      </c>
      <c r="F165" s="3" t="n">
        <v>140</v>
      </c>
      <c r="G165" s="2" t="n">
        <v>23</v>
      </c>
      <c r="H165" s="4" t="n">
        <v>0</v>
      </c>
      <c r="I165" s="3" t="n">
        <f aca="false">IF(G165="","",ROUND(F165*(100-G165)/100,0))</f>
        <v>108</v>
      </c>
      <c r="J165" s="2" t="str">
        <f aca="false">IF(G165="","Needs KD",IF(D165&lt;&gt;"Client","Not a buyer",IF(AND(G165&lt;=25,F165&gt;=500),"P1 Quick Win",IF(AND(G165&lt;=35,F165&gt;=200),"P2 High Value",IF(G165&lt;=50,"P3 Build","P4 Long Term")))))</f>
        <v>P3 Build</v>
      </c>
      <c r="K165" s="2" t="s">
        <v>23</v>
      </c>
      <c r="L165" s="2" t="s">
        <v>18</v>
      </c>
      <c r="M165" s="2"/>
    </row>
    <row r="166" customFormat="false" ht="15" hidden="false" customHeight="false" outlineLevel="0" collapsed="false">
      <c r="A166" s="2" t="n">
        <v>165</v>
      </c>
      <c r="B166" s="2" t="s">
        <v>202</v>
      </c>
      <c r="C166" s="2" t="s">
        <v>14</v>
      </c>
      <c r="D166" s="2" t="s">
        <v>15</v>
      </c>
      <c r="E166" s="2" t="s">
        <v>20</v>
      </c>
      <c r="F166" s="3" t="n">
        <v>140</v>
      </c>
      <c r="G166" s="2" t="n">
        <v>51</v>
      </c>
      <c r="H166" s="4" t="n">
        <v>0</v>
      </c>
      <c r="I166" s="3" t="n">
        <f aca="false">IF(G166="","",ROUND(F166*(100-G166)/100,0))</f>
        <v>69</v>
      </c>
      <c r="J166" s="2" t="str">
        <f aca="false">IF(G166="","Needs KD",IF(D166&lt;&gt;"Client","Not a buyer",IF(AND(G166&lt;=25,F166&gt;=500),"P1 Quick Win",IF(AND(G166&lt;=35,F166&gt;=200),"P2 High Value",IF(G166&lt;=50,"P3 Build","P4 Long Term")))))</f>
        <v>P4 Long Term</v>
      </c>
      <c r="K166" s="2" t="s">
        <v>23</v>
      </c>
      <c r="L166" s="2" t="s">
        <v>18</v>
      </c>
      <c r="M166" s="2"/>
    </row>
    <row r="167" customFormat="false" ht="15" hidden="false" customHeight="false" outlineLevel="0" collapsed="false">
      <c r="A167" s="2" t="n">
        <v>166</v>
      </c>
      <c r="B167" s="2" t="s">
        <v>203</v>
      </c>
      <c r="C167" s="2" t="s">
        <v>14</v>
      </c>
      <c r="D167" s="2" t="s">
        <v>15</v>
      </c>
      <c r="E167" s="2" t="s">
        <v>44</v>
      </c>
      <c r="F167" s="3" t="n">
        <v>140</v>
      </c>
      <c r="G167" s="2" t="n">
        <v>47</v>
      </c>
      <c r="H167" s="4" t="n">
        <v>0.78</v>
      </c>
      <c r="I167" s="3" t="n">
        <f aca="false">IF(G167="","",ROUND(F167*(100-G167)/100,0))</f>
        <v>74</v>
      </c>
      <c r="J167" s="2" t="str">
        <f aca="false">IF(G167="","Needs KD",IF(D167&lt;&gt;"Client","Not a buyer",IF(AND(G167&lt;=25,F167&gt;=500),"P1 Quick Win",IF(AND(G167&lt;=35,F167&gt;=200),"P2 High Value",IF(G167&lt;=50,"P3 Build","P4 Long Term")))))</f>
        <v>P3 Build</v>
      </c>
      <c r="K167" s="2" t="s">
        <v>37</v>
      </c>
      <c r="L167" s="2" t="s">
        <v>18</v>
      </c>
      <c r="M167" s="2"/>
    </row>
    <row r="168" customFormat="false" ht="15" hidden="false" customHeight="false" outlineLevel="0" collapsed="false">
      <c r="A168" s="2" t="n">
        <v>167</v>
      </c>
      <c r="B168" s="2" t="s">
        <v>204</v>
      </c>
      <c r="C168" s="2" t="s">
        <v>14</v>
      </c>
      <c r="D168" s="2" t="s">
        <v>15</v>
      </c>
      <c r="E168" s="2" t="s">
        <v>20</v>
      </c>
      <c r="F168" s="3" t="n">
        <v>140</v>
      </c>
      <c r="G168" s="2" t="n">
        <v>50</v>
      </c>
      <c r="H168" s="4" t="n">
        <v>0.39</v>
      </c>
      <c r="I168" s="3" t="n">
        <f aca="false">IF(G168="","",ROUND(F168*(100-G168)/100,0))</f>
        <v>70</v>
      </c>
      <c r="J168" s="2" t="str">
        <f aca="false">IF(G168="","Needs KD",IF(D168&lt;&gt;"Client","Not a buyer",IF(AND(G168&lt;=25,F168&gt;=500),"P1 Quick Win",IF(AND(G168&lt;=35,F168&gt;=200),"P2 High Value",IF(G168&lt;=50,"P3 Build","P4 Long Term")))))</f>
        <v>P3 Build</v>
      </c>
      <c r="K168" s="2" t="s">
        <v>37</v>
      </c>
      <c r="L168" s="2" t="s">
        <v>18</v>
      </c>
      <c r="M168" s="2"/>
    </row>
    <row r="169" customFormat="false" ht="15" hidden="false" customHeight="false" outlineLevel="0" collapsed="false">
      <c r="A169" s="2" t="n">
        <v>168</v>
      </c>
      <c r="B169" s="2" t="s">
        <v>205</v>
      </c>
      <c r="C169" s="2" t="s">
        <v>14</v>
      </c>
      <c r="D169" s="2" t="s">
        <v>15</v>
      </c>
      <c r="E169" s="2" t="s">
        <v>20</v>
      </c>
      <c r="F169" s="3" t="n">
        <v>140</v>
      </c>
      <c r="G169" s="2" t="n">
        <v>40</v>
      </c>
      <c r="H169" s="4" t="n">
        <v>0.32</v>
      </c>
      <c r="I169" s="3" t="n">
        <f aca="false">IF(G169="","",ROUND(F169*(100-G169)/100,0))</f>
        <v>84</v>
      </c>
      <c r="J169" s="2" t="str">
        <f aca="false">IF(G169="","Needs KD",IF(D169&lt;&gt;"Client","Not a buyer",IF(AND(G169&lt;=25,F169&gt;=500),"P1 Quick Win",IF(AND(G169&lt;=35,F169&gt;=200),"P2 High Value",IF(G169&lt;=50,"P3 Build","P4 Long Term")))))</f>
        <v>P3 Build</v>
      </c>
      <c r="K169" s="2" t="s">
        <v>37</v>
      </c>
      <c r="L169" s="2" t="s">
        <v>18</v>
      </c>
      <c r="M169" s="2"/>
    </row>
    <row r="170" customFormat="false" ht="15" hidden="false" customHeight="false" outlineLevel="0" collapsed="false">
      <c r="A170" s="2" t="n">
        <v>169</v>
      </c>
      <c r="B170" s="2" t="s">
        <v>206</v>
      </c>
      <c r="C170" s="2" t="s">
        <v>14</v>
      </c>
      <c r="D170" s="2" t="s">
        <v>15</v>
      </c>
      <c r="E170" s="2" t="s">
        <v>20</v>
      </c>
      <c r="F170" s="3" t="n">
        <v>140</v>
      </c>
      <c r="G170" s="2" t="n">
        <v>47</v>
      </c>
      <c r="H170" s="4" t="n">
        <v>0.4</v>
      </c>
      <c r="I170" s="3" t="n">
        <f aca="false">IF(G170="","",ROUND(F170*(100-G170)/100,0))</f>
        <v>74</v>
      </c>
      <c r="J170" s="2" t="str">
        <f aca="false">IF(G170="","Needs KD",IF(D170&lt;&gt;"Client","Not a buyer",IF(AND(G170&lt;=25,F170&gt;=500),"P1 Quick Win",IF(AND(G170&lt;=35,F170&gt;=200),"P2 High Value",IF(G170&lt;=50,"P3 Build","P4 Long Term")))))</f>
        <v>P3 Build</v>
      </c>
      <c r="K170" s="2" t="s">
        <v>37</v>
      </c>
      <c r="L170" s="2" t="s">
        <v>18</v>
      </c>
      <c r="M170" s="2"/>
    </row>
    <row r="171" customFormat="false" ht="15" hidden="false" customHeight="false" outlineLevel="0" collapsed="false">
      <c r="A171" s="2" t="n">
        <v>170</v>
      </c>
      <c r="B171" s="2" t="s">
        <v>207</v>
      </c>
      <c r="C171" s="2" t="s">
        <v>14</v>
      </c>
      <c r="D171" s="2" t="s">
        <v>15</v>
      </c>
      <c r="E171" s="2" t="s">
        <v>20</v>
      </c>
      <c r="F171" s="3" t="n">
        <v>140</v>
      </c>
      <c r="G171" s="2" t="n">
        <v>41</v>
      </c>
      <c r="H171" s="4" t="n">
        <v>0.66</v>
      </c>
      <c r="I171" s="3" t="n">
        <f aca="false">IF(G171="","",ROUND(F171*(100-G171)/100,0))</f>
        <v>83</v>
      </c>
      <c r="J171" s="2" t="str">
        <f aca="false">IF(G171="","Needs KD",IF(D171&lt;&gt;"Client","Not a buyer",IF(AND(G171&lt;=25,F171&gt;=500),"P1 Quick Win",IF(AND(G171&lt;=35,F171&gt;=200),"P2 High Value",IF(G171&lt;=50,"P3 Build","P4 Long Term")))))</f>
        <v>P3 Build</v>
      </c>
      <c r="K171" s="2" t="s">
        <v>37</v>
      </c>
      <c r="L171" s="2" t="s">
        <v>18</v>
      </c>
      <c r="M171" s="2"/>
    </row>
    <row r="172" customFormat="false" ht="15" hidden="false" customHeight="false" outlineLevel="0" collapsed="false">
      <c r="A172" s="2" t="n">
        <v>171</v>
      </c>
      <c r="B172" s="2" t="s">
        <v>208</v>
      </c>
      <c r="C172" s="2" t="s">
        <v>14</v>
      </c>
      <c r="D172" s="2" t="s">
        <v>15</v>
      </c>
      <c r="E172" s="2" t="s">
        <v>20</v>
      </c>
      <c r="F172" s="3" t="n">
        <v>140</v>
      </c>
      <c r="G172" s="2" t="n">
        <v>19</v>
      </c>
      <c r="H172" s="4" t="n">
        <v>1.24</v>
      </c>
      <c r="I172" s="3" t="n">
        <f aca="false">IF(G172="","",ROUND(F172*(100-G172)/100,0))</f>
        <v>113</v>
      </c>
      <c r="J172" s="2" t="str">
        <f aca="false">IF(G172="","Needs KD",IF(D172&lt;&gt;"Client","Not a buyer",IF(AND(G172&lt;=25,F172&gt;=500),"P1 Quick Win",IF(AND(G172&lt;=35,F172&gt;=200),"P2 High Value",IF(G172&lt;=50,"P3 Build","P4 Long Term")))))</f>
        <v>P3 Build</v>
      </c>
      <c r="K172" s="2" t="s">
        <v>37</v>
      </c>
      <c r="L172" s="2" t="s">
        <v>18</v>
      </c>
      <c r="M172" s="2"/>
    </row>
    <row r="173" customFormat="false" ht="15" hidden="false" customHeight="false" outlineLevel="0" collapsed="false">
      <c r="A173" s="2" t="n">
        <v>172</v>
      </c>
      <c r="B173" s="2" t="s">
        <v>209</v>
      </c>
      <c r="C173" s="2" t="s">
        <v>14</v>
      </c>
      <c r="D173" s="2" t="s">
        <v>15</v>
      </c>
      <c r="E173" s="2" t="s">
        <v>20</v>
      </c>
      <c r="F173" s="3" t="n">
        <v>140</v>
      </c>
      <c r="G173" s="2" t="n">
        <v>14</v>
      </c>
      <c r="H173" s="4" t="n">
        <v>0.49</v>
      </c>
      <c r="I173" s="3" t="n">
        <f aca="false">IF(G173="","",ROUND(F173*(100-G173)/100,0))</f>
        <v>120</v>
      </c>
      <c r="J173" s="2" t="str">
        <f aca="false">IF(G173="","Needs KD",IF(D173&lt;&gt;"Client","Not a buyer",IF(AND(G173&lt;=25,F173&gt;=500),"P1 Quick Win",IF(AND(G173&lt;=35,F173&gt;=200),"P2 High Value",IF(G173&lt;=50,"P3 Build","P4 Long Term")))))</f>
        <v>P3 Build</v>
      </c>
      <c r="K173" s="2" t="s">
        <v>37</v>
      </c>
      <c r="L173" s="2" t="s">
        <v>18</v>
      </c>
      <c r="M173" s="2"/>
    </row>
    <row r="174" customFormat="false" ht="15" hidden="false" customHeight="false" outlineLevel="0" collapsed="false">
      <c r="A174" s="2" t="n">
        <v>173</v>
      </c>
      <c r="B174" s="2" t="s">
        <v>210</v>
      </c>
      <c r="C174" s="2" t="s">
        <v>14</v>
      </c>
      <c r="D174" s="2" t="s">
        <v>15</v>
      </c>
      <c r="E174" s="2" t="s">
        <v>20</v>
      </c>
      <c r="F174" s="3" t="n">
        <v>140</v>
      </c>
      <c r="G174" s="2" t="n">
        <v>22</v>
      </c>
      <c r="H174" s="4" t="n">
        <v>0.08</v>
      </c>
      <c r="I174" s="3" t="n">
        <f aca="false">IF(G174="","",ROUND(F174*(100-G174)/100,0))</f>
        <v>109</v>
      </c>
      <c r="J174" s="2" t="str">
        <f aca="false">IF(G174="","Needs KD",IF(D174&lt;&gt;"Client","Not a buyer",IF(AND(G174&lt;=25,F174&gt;=500),"P1 Quick Win",IF(AND(G174&lt;=35,F174&gt;=200),"P2 High Value",IF(G174&lt;=50,"P3 Build","P4 Long Term")))))</f>
        <v>P3 Build</v>
      </c>
      <c r="K174" s="2" t="s">
        <v>21</v>
      </c>
      <c r="L174" s="2" t="s">
        <v>18</v>
      </c>
      <c r="M174" s="2"/>
    </row>
    <row r="175" customFormat="false" ht="15" hidden="false" customHeight="false" outlineLevel="0" collapsed="false">
      <c r="A175" s="2" t="n">
        <v>174</v>
      </c>
      <c r="B175" s="2" t="s">
        <v>211</v>
      </c>
      <c r="C175" s="2" t="s">
        <v>14</v>
      </c>
      <c r="D175" s="2" t="s">
        <v>15</v>
      </c>
      <c r="E175" s="2" t="s">
        <v>20</v>
      </c>
      <c r="F175" s="3" t="n">
        <v>140</v>
      </c>
      <c r="G175" s="2" t="n">
        <v>32</v>
      </c>
      <c r="H175" s="4" t="n">
        <v>0.51</v>
      </c>
      <c r="I175" s="3" t="n">
        <f aca="false">IF(G175="","",ROUND(F175*(100-G175)/100,0))</f>
        <v>95</v>
      </c>
      <c r="J175" s="2" t="str">
        <f aca="false">IF(G175="","Needs KD",IF(D175&lt;&gt;"Client","Not a buyer",IF(AND(G175&lt;=25,F175&gt;=500),"P1 Quick Win",IF(AND(G175&lt;=35,F175&gt;=200),"P2 High Value",IF(G175&lt;=50,"P3 Build","P4 Long Term")))))</f>
        <v>P3 Build</v>
      </c>
      <c r="K175" s="2" t="s">
        <v>21</v>
      </c>
      <c r="L175" s="2" t="s">
        <v>18</v>
      </c>
      <c r="M175" s="2"/>
    </row>
    <row r="176" customFormat="false" ht="15" hidden="false" customHeight="false" outlineLevel="0" collapsed="false">
      <c r="A176" s="2" t="n">
        <v>175</v>
      </c>
      <c r="B176" s="2" t="s">
        <v>212</v>
      </c>
      <c r="C176" s="2" t="s">
        <v>14</v>
      </c>
      <c r="D176" s="2" t="s">
        <v>15</v>
      </c>
      <c r="E176" s="2" t="s">
        <v>20</v>
      </c>
      <c r="F176" s="3" t="n">
        <v>140</v>
      </c>
      <c r="G176" s="2" t="n">
        <v>24</v>
      </c>
      <c r="H176" s="4" t="n">
        <v>0</v>
      </c>
      <c r="I176" s="3" t="n">
        <f aca="false">IF(G176="","",ROUND(F176*(100-G176)/100,0))</f>
        <v>106</v>
      </c>
      <c r="J176" s="2" t="str">
        <f aca="false">IF(G176="","Needs KD",IF(D176&lt;&gt;"Client","Not a buyer",IF(AND(G176&lt;=25,F176&gt;=500),"P1 Quick Win",IF(AND(G176&lt;=35,F176&gt;=200),"P2 High Value",IF(G176&lt;=50,"P3 Build","P4 Long Term")))))</f>
        <v>P3 Build</v>
      </c>
      <c r="K176" s="2" t="s">
        <v>21</v>
      </c>
      <c r="L176" s="2" t="s">
        <v>18</v>
      </c>
      <c r="M176" s="2"/>
    </row>
    <row r="177" customFormat="false" ht="15" hidden="false" customHeight="false" outlineLevel="0" collapsed="false">
      <c r="A177" s="2" t="n">
        <v>176</v>
      </c>
      <c r="B177" s="2" t="s">
        <v>213</v>
      </c>
      <c r="C177" s="2" t="s">
        <v>14</v>
      </c>
      <c r="D177" s="2" t="s">
        <v>15</v>
      </c>
      <c r="E177" s="2" t="s">
        <v>20</v>
      </c>
      <c r="F177" s="3" t="n">
        <v>140</v>
      </c>
      <c r="G177" s="2" t="n">
        <v>50</v>
      </c>
      <c r="H177" s="4" t="n">
        <v>0</v>
      </c>
      <c r="I177" s="3" t="n">
        <f aca="false">IF(G177="","",ROUND(F177*(100-G177)/100,0))</f>
        <v>70</v>
      </c>
      <c r="J177" s="2" t="str">
        <f aca="false">IF(G177="","Needs KD",IF(D177&lt;&gt;"Client","Not a buyer",IF(AND(G177&lt;=25,F177&gt;=500),"P1 Quick Win",IF(AND(G177&lt;=35,F177&gt;=200),"P2 High Value",IF(G177&lt;=50,"P3 Build","P4 Long Term")))))</f>
        <v>P3 Build</v>
      </c>
      <c r="K177" s="2" t="s">
        <v>41</v>
      </c>
      <c r="L177" s="2" t="s">
        <v>18</v>
      </c>
      <c r="M177" s="2"/>
    </row>
    <row r="178" customFormat="false" ht="15" hidden="false" customHeight="false" outlineLevel="0" collapsed="false">
      <c r="A178" s="2" t="n">
        <v>177</v>
      </c>
      <c r="B178" s="2" t="s">
        <v>214</v>
      </c>
      <c r="C178" s="2" t="s">
        <v>14</v>
      </c>
      <c r="D178" s="2" t="s">
        <v>15</v>
      </c>
      <c r="E178" s="2" t="s">
        <v>20</v>
      </c>
      <c r="F178" s="3" t="n">
        <v>140</v>
      </c>
      <c r="G178" s="2" t="n">
        <v>28</v>
      </c>
      <c r="H178" s="4" t="n">
        <v>0</v>
      </c>
      <c r="I178" s="3" t="n">
        <f aca="false">IF(G178="","",ROUND(F178*(100-G178)/100,0))</f>
        <v>101</v>
      </c>
      <c r="J178" s="2" t="str">
        <f aca="false">IF(G178="","Needs KD",IF(D178&lt;&gt;"Client","Not a buyer",IF(AND(G178&lt;=25,F178&gt;=500),"P1 Quick Win",IF(AND(G178&lt;=35,F178&gt;=200),"P2 High Value",IF(G178&lt;=50,"P3 Build","P4 Long Term")))))</f>
        <v>P3 Build</v>
      </c>
      <c r="K178" s="2" t="s">
        <v>41</v>
      </c>
      <c r="L178" s="2" t="s">
        <v>18</v>
      </c>
      <c r="M178" s="2"/>
    </row>
    <row r="179" customFormat="false" ht="15" hidden="false" customHeight="false" outlineLevel="0" collapsed="false">
      <c r="A179" s="2" t="n">
        <v>178</v>
      </c>
      <c r="B179" s="2" t="s">
        <v>215</v>
      </c>
      <c r="C179" s="2" t="s">
        <v>14</v>
      </c>
      <c r="D179" s="2" t="s">
        <v>15</v>
      </c>
      <c r="E179" s="2" t="s">
        <v>20</v>
      </c>
      <c r="F179" s="3" t="n">
        <v>140</v>
      </c>
      <c r="G179" s="2" t="n">
        <v>21</v>
      </c>
      <c r="H179" s="4" t="n">
        <v>0.78</v>
      </c>
      <c r="I179" s="3" t="n">
        <f aca="false">IF(G179="","",ROUND(F179*(100-G179)/100,0))</f>
        <v>111</v>
      </c>
      <c r="J179" s="2" t="str">
        <f aca="false">IF(G179="","Needs KD",IF(D179&lt;&gt;"Client","Not a buyer",IF(AND(G179&lt;=25,F179&gt;=500),"P1 Quick Win",IF(AND(G179&lt;=35,F179&gt;=200),"P2 High Value",IF(G179&lt;=50,"P3 Build","P4 Long Term")))))</f>
        <v>P3 Build</v>
      </c>
      <c r="K179" s="2" t="s">
        <v>41</v>
      </c>
      <c r="L179" s="2" t="s">
        <v>18</v>
      </c>
      <c r="M179" s="2"/>
    </row>
    <row r="180" customFormat="false" ht="15" hidden="false" customHeight="false" outlineLevel="0" collapsed="false">
      <c r="A180" s="2" t="n">
        <v>179</v>
      </c>
      <c r="B180" s="2" t="s">
        <v>216</v>
      </c>
      <c r="C180" s="2" t="s">
        <v>14</v>
      </c>
      <c r="D180" s="2" t="s">
        <v>15</v>
      </c>
      <c r="E180" s="2" t="s">
        <v>20</v>
      </c>
      <c r="F180" s="3" t="n">
        <v>140</v>
      </c>
      <c r="G180" s="2" t="n">
        <v>57</v>
      </c>
      <c r="H180" s="4" t="n">
        <v>0</v>
      </c>
      <c r="I180" s="3" t="n">
        <f aca="false">IF(G180="","",ROUND(F180*(100-G180)/100,0))</f>
        <v>60</v>
      </c>
      <c r="J180" s="2" t="str">
        <f aca="false">IF(G180="","Needs KD",IF(D180&lt;&gt;"Client","Not a buyer",IF(AND(G180&lt;=25,F180&gt;=500),"P1 Quick Win",IF(AND(G180&lt;=35,F180&gt;=200),"P2 High Value",IF(G180&lt;=50,"P3 Build","P4 Long Term")))))</f>
        <v>P4 Long Term</v>
      </c>
      <c r="K180" s="2" t="s">
        <v>17</v>
      </c>
      <c r="L180" s="2" t="s">
        <v>18</v>
      </c>
      <c r="M180" s="2"/>
    </row>
    <row r="181" customFormat="false" ht="15" hidden="false" customHeight="false" outlineLevel="0" collapsed="false">
      <c r="A181" s="2" t="n">
        <v>180</v>
      </c>
      <c r="B181" s="2" t="s">
        <v>217</v>
      </c>
      <c r="C181" s="2" t="s">
        <v>14</v>
      </c>
      <c r="D181" s="2" t="s">
        <v>15</v>
      </c>
      <c r="E181" s="2" t="s">
        <v>20</v>
      </c>
      <c r="F181" s="3" t="n">
        <v>140</v>
      </c>
      <c r="G181" s="2" t="n">
        <v>24</v>
      </c>
      <c r="H181" s="4" t="n">
        <v>0</v>
      </c>
      <c r="I181" s="3" t="n">
        <f aca="false">IF(G181="","",ROUND(F181*(100-G181)/100,0))</f>
        <v>106</v>
      </c>
      <c r="J181" s="2" t="str">
        <f aca="false">IF(G181="","Needs KD",IF(D181&lt;&gt;"Client","Not a buyer",IF(AND(G181&lt;=25,F181&gt;=500),"P1 Quick Win",IF(AND(G181&lt;=35,F181&gt;=200),"P2 High Value",IF(G181&lt;=50,"P3 Build","P4 Long Term")))))</f>
        <v>P3 Build</v>
      </c>
      <c r="K181" s="2" t="s">
        <v>63</v>
      </c>
      <c r="L181" s="2" t="s">
        <v>18</v>
      </c>
      <c r="M181" s="2"/>
    </row>
    <row r="182" customFormat="false" ht="15" hidden="false" customHeight="false" outlineLevel="0" collapsed="false">
      <c r="A182" s="5" t="n">
        <v>181</v>
      </c>
      <c r="B182" s="5" t="s">
        <v>218</v>
      </c>
      <c r="C182" s="5" t="s">
        <v>14</v>
      </c>
      <c r="D182" s="5" t="s">
        <v>219</v>
      </c>
      <c r="E182" s="5" t="s">
        <v>20</v>
      </c>
      <c r="F182" s="6" t="n">
        <v>140</v>
      </c>
      <c r="G182" s="5" t="n">
        <v>28</v>
      </c>
      <c r="H182" s="7" t="n">
        <v>0</v>
      </c>
      <c r="I182" s="6" t="n">
        <f aca="false">IF(G182="","",ROUND(F182*(100-G182)/100,0))</f>
        <v>101</v>
      </c>
      <c r="J182" s="5" t="str">
        <f aca="false">IF(G182="","Needs KD",IF(D182&lt;&gt;"Client","Not a buyer",IF(AND(G182&lt;=25,F182&gt;=500),"P1 Quick Win",IF(AND(G182&lt;=35,F182&gt;=200),"P2 High Value",IF(G182&lt;=50,"P3 Build","P4 Long Term")))))</f>
        <v>Not a buyer</v>
      </c>
      <c r="K182" s="5" t="s">
        <v>63</v>
      </c>
      <c r="L182" s="5" t="s">
        <v>18</v>
      </c>
      <c r="M182" s="5"/>
    </row>
    <row r="183" customFormat="false" ht="15" hidden="false" customHeight="false" outlineLevel="0" collapsed="false">
      <c r="A183" s="2" t="n">
        <v>182</v>
      </c>
      <c r="B183" s="2" t="s">
        <v>220</v>
      </c>
      <c r="C183" s="2" t="s">
        <v>14</v>
      </c>
      <c r="D183" s="2" t="s">
        <v>15</v>
      </c>
      <c r="E183" s="2" t="s">
        <v>16</v>
      </c>
      <c r="F183" s="3" t="n">
        <v>140</v>
      </c>
      <c r="G183" s="2" t="n">
        <v>19</v>
      </c>
      <c r="H183" s="4" t="n">
        <v>0</v>
      </c>
      <c r="I183" s="3" t="n">
        <f aca="false">IF(G183="","",ROUND(F183*(100-G183)/100,0))</f>
        <v>113</v>
      </c>
      <c r="J183" s="2" t="str">
        <f aca="false">IF(G183="","Needs KD",IF(D183&lt;&gt;"Client","Not a buyer",IF(AND(G183&lt;=25,F183&gt;=500),"P1 Quick Win",IF(AND(G183&lt;=35,F183&gt;=200),"P2 High Value",IF(G183&lt;=50,"P3 Build","P4 Long Term")))))</f>
        <v>P3 Build</v>
      </c>
      <c r="K183" s="2" t="s">
        <v>63</v>
      </c>
      <c r="L183" s="2" t="s">
        <v>18</v>
      </c>
      <c r="M183" s="2"/>
    </row>
    <row r="184" customFormat="false" ht="15" hidden="false" customHeight="false" outlineLevel="0" collapsed="false">
      <c r="A184" s="2" t="n">
        <v>183</v>
      </c>
      <c r="B184" s="2" t="s">
        <v>221</v>
      </c>
      <c r="C184" s="2" t="s">
        <v>14</v>
      </c>
      <c r="D184" s="2" t="s">
        <v>15</v>
      </c>
      <c r="E184" s="2" t="s">
        <v>53</v>
      </c>
      <c r="F184" s="3" t="n">
        <v>140</v>
      </c>
      <c r="G184" s="2" t="n">
        <v>54</v>
      </c>
      <c r="H184" s="4" t="n">
        <v>1.54</v>
      </c>
      <c r="I184" s="3" t="n">
        <f aca="false">IF(G184="","",ROUND(F184*(100-G184)/100,0))</f>
        <v>64</v>
      </c>
      <c r="J184" s="2" t="str">
        <f aca="false">IF(G184="","Needs KD",IF(D184&lt;&gt;"Client","Not a buyer",IF(AND(G184&lt;=25,F184&gt;=500),"P1 Quick Win",IF(AND(G184&lt;=35,F184&gt;=200),"P2 High Value",IF(G184&lt;=50,"P3 Build","P4 Long Term")))))</f>
        <v>P4 Long Term</v>
      </c>
      <c r="K184" s="2" t="s">
        <v>83</v>
      </c>
      <c r="L184" s="2" t="s">
        <v>18</v>
      </c>
      <c r="M184" s="2"/>
    </row>
    <row r="185" customFormat="false" ht="15" hidden="false" customHeight="false" outlineLevel="0" collapsed="false">
      <c r="A185" s="2" t="n">
        <v>184</v>
      </c>
      <c r="B185" s="2" t="s">
        <v>222</v>
      </c>
      <c r="C185" s="2" t="s">
        <v>14</v>
      </c>
      <c r="D185" s="2" t="s">
        <v>15</v>
      </c>
      <c r="E185" s="2" t="s">
        <v>20</v>
      </c>
      <c r="F185" s="3" t="n">
        <v>140</v>
      </c>
      <c r="G185" s="2" t="n">
        <v>54</v>
      </c>
      <c r="H185" s="4" t="n">
        <v>0.77</v>
      </c>
      <c r="I185" s="3" t="n">
        <f aca="false">IF(G185="","",ROUND(F185*(100-G185)/100,0))</f>
        <v>64</v>
      </c>
      <c r="J185" s="2" t="str">
        <f aca="false">IF(G185="","Needs KD",IF(D185&lt;&gt;"Client","Not a buyer",IF(AND(G185&lt;=25,F185&gt;=500),"P1 Quick Win",IF(AND(G185&lt;=35,F185&gt;=200),"P2 High Value",IF(G185&lt;=50,"P3 Build","P4 Long Term")))))</f>
        <v>P4 Long Term</v>
      </c>
      <c r="K185" s="2" t="s">
        <v>83</v>
      </c>
      <c r="L185" s="2" t="s">
        <v>18</v>
      </c>
      <c r="M185" s="2"/>
    </row>
    <row r="186" customFormat="false" ht="15" hidden="false" customHeight="false" outlineLevel="0" collapsed="false">
      <c r="A186" s="2" t="n">
        <v>185</v>
      </c>
      <c r="B186" s="2" t="s">
        <v>223</v>
      </c>
      <c r="C186" s="2" t="s">
        <v>14</v>
      </c>
      <c r="D186" s="2" t="s">
        <v>15</v>
      </c>
      <c r="E186" s="2" t="s">
        <v>20</v>
      </c>
      <c r="F186" s="3" t="n">
        <v>110</v>
      </c>
      <c r="G186" s="2" t="n">
        <v>5</v>
      </c>
      <c r="H186" s="4" t="n">
        <v>0</v>
      </c>
      <c r="I186" s="3" t="n">
        <f aca="false">IF(G186="","",ROUND(F186*(100-G186)/100,0))</f>
        <v>105</v>
      </c>
      <c r="J186" s="2" t="str">
        <f aca="false">IF(G186="","Needs KD",IF(D186&lt;&gt;"Client","Not a buyer",IF(AND(G186&lt;=25,F186&gt;=500),"P1 Quick Win",IF(AND(G186&lt;=35,F186&gt;=200),"P2 High Value",IF(G186&lt;=50,"P3 Build","P4 Long Term")))))</f>
        <v>P3 Build</v>
      </c>
      <c r="K186" s="2" t="s">
        <v>25</v>
      </c>
      <c r="L186" s="2" t="s">
        <v>18</v>
      </c>
      <c r="M186" s="2"/>
    </row>
    <row r="187" customFormat="false" ht="15" hidden="false" customHeight="false" outlineLevel="0" collapsed="false">
      <c r="A187" s="2" t="n">
        <v>186</v>
      </c>
      <c r="B187" s="2" t="s">
        <v>224</v>
      </c>
      <c r="C187" s="2" t="s">
        <v>14</v>
      </c>
      <c r="D187" s="2" t="s">
        <v>15</v>
      </c>
      <c r="E187" s="2" t="s">
        <v>53</v>
      </c>
      <c r="F187" s="3" t="n">
        <v>110</v>
      </c>
      <c r="G187" s="2" t="n">
        <v>37</v>
      </c>
      <c r="H187" s="4" t="n">
        <v>0</v>
      </c>
      <c r="I187" s="3" t="n">
        <f aca="false">IF(G187="","",ROUND(F187*(100-G187)/100,0))</f>
        <v>69</v>
      </c>
      <c r="J187" s="2" t="str">
        <f aca="false">IF(G187="","Needs KD",IF(D187&lt;&gt;"Client","Not a buyer",IF(AND(G187&lt;=25,F187&gt;=500),"P1 Quick Win",IF(AND(G187&lt;=35,F187&gt;=200),"P2 High Value",IF(G187&lt;=50,"P3 Build","P4 Long Term")))))</f>
        <v>P3 Build</v>
      </c>
      <c r="K187" s="2" t="s">
        <v>23</v>
      </c>
      <c r="L187" s="2" t="s">
        <v>18</v>
      </c>
      <c r="M187" s="2"/>
    </row>
    <row r="188" customFormat="false" ht="15" hidden="false" customHeight="false" outlineLevel="0" collapsed="false">
      <c r="A188" s="2" t="n">
        <v>187</v>
      </c>
      <c r="B188" s="2" t="s">
        <v>225</v>
      </c>
      <c r="C188" s="2" t="s">
        <v>14</v>
      </c>
      <c r="D188" s="2" t="s">
        <v>15</v>
      </c>
      <c r="E188" s="2" t="s">
        <v>16</v>
      </c>
      <c r="F188" s="3" t="n">
        <v>110</v>
      </c>
      <c r="G188" s="2" t="n">
        <v>30</v>
      </c>
      <c r="H188" s="4" t="n">
        <v>0</v>
      </c>
      <c r="I188" s="3" t="n">
        <f aca="false">IF(G188="","",ROUND(F188*(100-G188)/100,0))</f>
        <v>77</v>
      </c>
      <c r="J188" s="2" t="str">
        <f aca="false">IF(G188="","Needs KD",IF(D188&lt;&gt;"Client","Not a buyer",IF(AND(G188&lt;=25,F188&gt;=500),"P1 Quick Win",IF(AND(G188&lt;=35,F188&gt;=200),"P2 High Value",IF(G188&lt;=50,"P3 Build","P4 Long Term")))))</f>
        <v>P3 Build</v>
      </c>
      <c r="K188" s="2" t="s">
        <v>23</v>
      </c>
      <c r="L188" s="2" t="s">
        <v>18</v>
      </c>
      <c r="M188" s="2"/>
    </row>
    <row r="189" customFormat="false" ht="15" hidden="false" customHeight="false" outlineLevel="0" collapsed="false">
      <c r="A189" s="2" t="n">
        <v>188</v>
      </c>
      <c r="B189" s="2" t="s">
        <v>226</v>
      </c>
      <c r="C189" s="2" t="s">
        <v>14</v>
      </c>
      <c r="D189" s="2" t="s">
        <v>15</v>
      </c>
      <c r="E189" s="2" t="s">
        <v>20</v>
      </c>
      <c r="F189" s="3" t="n">
        <v>110</v>
      </c>
      <c r="G189" s="2" t="n">
        <v>16</v>
      </c>
      <c r="H189" s="4" t="n">
        <v>0</v>
      </c>
      <c r="I189" s="3" t="n">
        <f aca="false">IF(G189="","",ROUND(F189*(100-G189)/100,0))</f>
        <v>92</v>
      </c>
      <c r="J189" s="2" t="str">
        <f aca="false">IF(G189="","Needs KD",IF(D189&lt;&gt;"Client","Not a buyer",IF(AND(G189&lt;=25,F189&gt;=500),"P1 Quick Win",IF(AND(G189&lt;=35,F189&gt;=200),"P2 High Value",IF(G189&lt;=50,"P3 Build","P4 Long Term")))))</f>
        <v>P3 Build</v>
      </c>
      <c r="K189" s="2" t="s">
        <v>23</v>
      </c>
      <c r="L189" s="2" t="s">
        <v>18</v>
      </c>
      <c r="M189" s="2"/>
    </row>
    <row r="190" customFormat="false" ht="15" hidden="false" customHeight="false" outlineLevel="0" collapsed="false">
      <c r="A190" s="2" t="n">
        <v>189</v>
      </c>
      <c r="B190" s="2" t="s">
        <v>227</v>
      </c>
      <c r="C190" s="2" t="s">
        <v>14</v>
      </c>
      <c r="D190" s="2" t="s">
        <v>15</v>
      </c>
      <c r="E190" s="2" t="s">
        <v>20</v>
      </c>
      <c r="F190" s="3" t="n">
        <v>110</v>
      </c>
      <c r="G190" s="2" t="n">
        <v>29</v>
      </c>
      <c r="H190" s="4" t="n">
        <v>0</v>
      </c>
      <c r="I190" s="3" t="n">
        <f aca="false">IF(G190="","",ROUND(F190*(100-G190)/100,0))</f>
        <v>78</v>
      </c>
      <c r="J190" s="2" t="str">
        <f aca="false">IF(G190="","Needs KD",IF(D190&lt;&gt;"Client","Not a buyer",IF(AND(G190&lt;=25,F190&gt;=500),"P1 Quick Win",IF(AND(G190&lt;=35,F190&gt;=200),"P2 High Value",IF(G190&lt;=50,"P3 Build","P4 Long Term")))))</f>
        <v>P3 Build</v>
      </c>
      <c r="K190" s="2" t="s">
        <v>23</v>
      </c>
      <c r="L190" s="2" t="s">
        <v>18</v>
      </c>
      <c r="M190" s="2"/>
    </row>
    <row r="191" customFormat="false" ht="15" hidden="false" customHeight="false" outlineLevel="0" collapsed="false">
      <c r="A191" s="2" t="n">
        <v>190</v>
      </c>
      <c r="B191" s="2" t="s">
        <v>228</v>
      </c>
      <c r="C191" s="2" t="s">
        <v>14</v>
      </c>
      <c r="D191" s="2" t="s">
        <v>15</v>
      </c>
      <c r="E191" s="2" t="s">
        <v>39</v>
      </c>
      <c r="F191" s="3" t="n">
        <v>110</v>
      </c>
      <c r="G191" s="2" t="n">
        <v>57</v>
      </c>
      <c r="H191" s="4" t="n">
        <v>0.99</v>
      </c>
      <c r="I191" s="3" t="n">
        <f aca="false">IF(G191="","",ROUND(F191*(100-G191)/100,0))</f>
        <v>47</v>
      </c>
      <c r="J191" s="2" t="str">
        <f aca="false">IF(G191="","Needs KD",IF(D191&lt;&gt;"Client","Not a buyer",IF(AND(G191&lt;=25,F191&gt;=500),"P1 Quick Win",IF(AND(G191&lt;=35,F191&gt;=200),"P2 High Value",IF(G191&lt;=50,"P3 Build","P4 Long Term")))))</f>
        <v>P4 Long Term</v>
      </c>
      <c r="K191" s="2" t="s">
        <v>37</v>
      </c>
      <c r="L191" s="2" t="s">
        <v>18</v>
      </c>
      <c r="M191" s="2"/>
    </row>
    <row r="192" customFormat="false" ht="15" hidden="false" customHeight="false" outlineLevel="0" collapsed="false">
      <c r="A192" s="2" t="n">
        <v>191</v>
      </c>
      <c r="B192" s="2" t="s">
        <v>229</v>
      </c>
      <c r="C192" s="2" t="s">
        <v>14</v>
      </c>
      <c r="D192" s="2" t="s">
        <v>15</v>
      </c>
      <c r="E192" s="2" t="s">
        <v>20</v>
      </c>
      <c r="F192" s="3" t="n">
        <v>110</v>
      </c>
      <c r="G192" s="2" t="n">
        <v>14</v>
      </c>
      <c r="H192" s="4" t="n">
        <v>1.91</v>
      </c>
      <c r="I192" s="3" t="n">
        <f aca="false">IF(G192="","",ROUND(F192*(100-G192)/100,0))</f>
        <v>95</v>
      </c>
      <c r="J192" s="2" t="str">
        <f aca="false">IF(G192="","Needs KD",IF(D192&lt;&gt;"Client","Not a buyer",IF(AND(G192&lt;=25,F192&gt;=500),"P1 Quick Win",IF(AND(G192&lt;=35,F192&gt;=200),"P2 High Value",IF(G192&lt;=50,"P3 Build","P4 Long Term")))))</f>
        <v>P3 Build</v>
      </c>
      <c r="K192" s="2" t="s">
        <v>37</v>
      </c>
      <c r="L192" s="2" t="s">
        <v>18</v>
      </c>
      <c r="M192" s="2"/>
    </row>
    <row r="193" customFormat="false" ht="15" hidden="false" customHeight="false" outlineLevel="0" collapsed="false">
      <c r="A193" s="2" t="n">
        <v>192</v>
      </c>
      <c r="B193" s="2" t="s">
        <v>230</v>
      </c>
      <c r="C193" s="2" t="s">
        <v>14</v>
      </c>
      <c r="D193" s="2" t="s">
        <v>15</v>
      </c>
      <c r="E193" s="2" t="s">
        <v>44</v>
      </c>
      <c r="F193" s="3" t="n">
        <v>110</v>
      </c>
      <c r="G193" s="2" t="n">
        <v>15</v>
      </c>
      <c r="H193" s="4" t="n">
        <v>0.93</v>
      </c>
      <c r="I193" s="3" t="n">
        <f aca="false">IF(G193="","",ROUND(F193*(100-G193)/100,0))</f>
        <v>94</v>
      </c>
      <c r="J193" s="2" t="str">
        <f aca="false">IF(G193="","Needs KD",IF(D193&lt;&gt;"Client","Not a buyer",IF(AND(G193&lt;=25,F193&gt;=500),"P1 Quick Win",IF(AND(G193&lt;=35,F193&gt;=200),"P2 High Value",IF(G193&lt;=50,"P3 Build","P4 Long Term")))))</f>
        <v>P3 Build</v>
      </c>
      <c r="K193" s="2" t="s">
        <v>37</v>
      </c>
      <c r="L193" s="2" t="s">
        <v>18</v>
      </c>
      <c r="M193" s="2"/>
    </row>
    <row r="194" customFormat="false" ht="15" hidden="false" customHeight="false" outlineLevel="0" collapsed="false">
      <c r="A194" s="2" t="n">
        <v>193</v>
      </c>
      <c r="B194" s="2" t="s">
        <v>231</v>
      </c>
      <c r="C194" s="2" t="s">
        <v>14</v>
      </c>
      <c r="D194" s="2" t="s">
        <v>15</v>
      </c>
      <c r="E194" s="2" t="s">
        <v>20</v>
      </c>
      <c r="F194" s="3" t="n">
        <v>110</v>
      </c>
      <c r="G194" s="2" t="n">
        <v>47</v>
      </c>
      <c r="H194" s="4" t="n">
        <v>1.83</v>
      </c>
      <c r="I194" s="3" t="n">
        <f aca="false">IF(G194="","",ROUND(F194*(100-G194)/100,0))</f>
        <v>58</v>
      </c>
      <c r="J194" s="2" t="str">
        <f aca="false">IF(G194="","Needs KD",IF(D194&lt;&gt;"Client","Not a buyer",IF(AND(G194&lt;=25,F194&gt;=500),"P1 Quick Win",IF(AND(G194&lt;=35,F194&gt;=200),"P2 High Value",IF(G194&lt;=50,"P3 Build","P4 Long Term")))))</f>
        <v>P3 Build</v>
      </c>
      <c r="K194" s="2" t="s">
        <v>37</v>
      </c>
      <c r="L194" s="2" t="s">
        <v>18</v>
      </c>
      <c r="M194" s="2"/>
    </row>
    <row r="195" customFormat="false" ht="15" hidden="false" customHeight="false" outlineLevel="0" collapsed="false">
      <c r="A195" s="2" t="n">
        <v>194</v>
      </c>
      <c r="B195" s="2" t="s">
        <v>232</v>
      </c>
      <c r="C195" s="2" t="s">
        <v>14</v>
      </c>
      <c r="D195" s="2" t="s">
        <v>15</v>
      </c>
      <c r="E195" s="2" t="s">
        <v>20</v>
      </c>
      <c r="F195" s="3" t="n">
        <v>110</v>
      </c>
      <c r="G195" s="2" t="n">
        <v>12</v>
      </c>
      <c r="H195" s="4" t="n">
        <v>0.71</v>
      </c>
      <c r="I195" s="3" t="n">
        <f aca="false">IF(G195="","",ROUND(F195*(100-G195)/100,0))</f>
        <v>97</v>
      </c>
      <c r="J195" s="2" t="str">
        <f aca="false">IF(G195="","Needs KD",IF(D195&lt;&gt;"Client","Not a buyer",IF(AND(G195&lt;=25,F195&gt;=500),"P1 Quick Win",IF(AND(G195&lt;=35,F195&gt;=200),"P2 High Value",IF(G195&lt;=50,"P3 Build","P4 Long Term")))))</f>
        <v>P3 Build</v>
      </c>
      <c r="K195" s="2" t="s">
        <v>21</v>
      </c>
      <c r="L195" s="2" t="s">
        <v>18</v>
      </c>
      <c r="M195" s="2"/>
    </row>
    <row r="196" customFormat="false" ht="15" hidden="false" customHeight="false" outlineLevel="0" collapsed="false">
      <c r="A196" s="2" t="n">
        <v>195</v>
      </c>
      <c r="B196" s="2" t="s">
        <v>233</v>
      </c>
      <c r="C196" s="2" t="s">
        <v>14</v>
      </c>
      <c r="D196" s="2" t="s">
        <v>15</v>
      </c>
      <c r="E196" s="2" t="s">
        <v>20</v>
      </c>
      <c r="F196" s="3" t="n">
        <v>110</v>
      </c>
      <c r="G196" s="2" t="n">
        <v>20</v>
      </c>
      <c r="H196" s="4" t="n">
        <v>0</v>
      </c>
      <c r="I196" s="3" t="n">
        <f aca="false">IF(G196="","",ROUND(F196*(100-G196)/100,0))</f>
        <v>88</v>
      </c>
      <c r="J196" s="2" t="str">
        <f aca="false">IF(G196="","Needs KD",IF(D196&lt;&gt;"Client","Not a buyer",IF(AND(G196&lt;=25,F196&gt;=500),"P1 Quick Win",IF(AND(G196&lt;=35,F196&gt;=200),"P2 High Value",IF(G196&lt;=50,"P3 Build","P4 Long Term")))))</f>
        <v>P3 Build</v>
      </c>
      <c r="K196" s="2" t="s">
        <v>21</v>
      </c>
      <c r="L196" s="2" t="s">
        <v>18</v>
      </c>
      <c r="M196" s="2"/>
    </row>
    <row r="197" customFormat="false" ht="15" hidden="false" customHeight="false" outlineLevel="0" collapsed="false">
      <c r="A197" s="2" t="n">
        <v>196</v>
      </c>
      <c r="B197" s="2" t="s">
        <v>234</v>
      </c>
      <c r="C197" s="2" t="s">
        <v>14</v>
      </c>
      <c r="D197" s="2" t="s">
        <v>15</v>
      </c>
      <c r="E197" s="2" t="s">
        <v>20</v>
      </c>
      <c r="F197" s="3" t="n">
        <v>110</v>
      </c>
      <c r="G197" s="2" t="n">
        <v>51</v>
      </c>
      <c r="H197" s="4" t="n">
        <v>0.5</v>
      </c>
      <c r="I197" s="3" t="n">
        <f aca="false">IF(G197="","",ROUND(F197*(100-G197)/100,0))</f>
        <v>54</v>
      </c>
      <c r="J197" s="2" t="str">
        <f aca="false">IF(G197="","Needs KD",IF(D197&lt;&gt;"Client","Not a buyer",IF(AND(G197&lt;=25,F197&gt;=500),"P1 Quick Win",IF(AND(G197&lt;=35,F197&gt;=200),"P2 High Value",IF(G197&lt;=50,"P3 Build","P4 Long Term")))))</f>
        <v>P4 Long Term</v>
      </c>
      <c r="K197" s="2" t="s">
        <v>21</v>
      </c>
      <c r="L197" s="2" t="s">
        <v>18</v>
      </c>
      <c r="M197" s="2"/>
    </row>
    <row r="198" customFormat="false" ht="15" hidden="false" customHeight="false" outlineLevel="0" collapsed="false">
      <c r="A198" s="2" t="n">
        <v>197</v>
      </c>
      <c r="B198" s="2" t="s">
        <v>235</v>
      </c>
      <c r="C198" s="2" t="s">
        <v>14</v>
      </c>
      <c r="D198" s="2" t="s">
        <v>15</v>
      </c>
      <c r="E198" s="2" t="s">
        <v>20</v>
      </c>
      <c r="F198" s="3" t="n">
        <v>110</v>
      </c>
      <c r="G198" s="2" t="n">
        <v>13</v>
      </c>
      <c r="H198" s="4" t="n">
        <v>0.86</v>
      </c>
      <c r="I198" s="3" t="n">
        <f aca="false">IF(G198="","",ROUND(F198*(100-G198)/100,0))</f>
        <v>96</v>
      </c>
      <c r="J198" s="2" t="str">
        <f aca="false">IF(G198="","Needs KD",IF(D198&lt;&gt;"Client","Not a buyer",IF(AND(G198&lt;=25,F198&gt;=500),"P1 Quick Win",IF(AND(G198&lt;=35,F198&gt;=200),"P2 High Value",IF(G198&lt;=50,"P3 Build","P4 Long Term")))))</f>
        <v>P3 Build</v>
      </c>
      <c r="K198" s="2" t="s">
        <v>21</v>
      </c>
      <c r="L198" s="2" t="s">
        <v>18</v>
      </c>
      <c r="M198" s="2"/>
    </row>
    <row r="199" customFormat="false" ht="15" hidden="false" customHeight="false" outlineLevel="0" collapsed="false">
      <c r="A199" s="2" t="n">
        <v>198</v>
      </c>
      <c r="B199" s="2" t="s">
        <v>236</v>
      </c>
      <c r="C199" s="2" t="s">
        <v>14</v>
      </c>
      <c r="D199" s="2" t="s">
        <v>15</v>
      </c>
      <c r="E199" s="2" t="s">
        <v>20</v>
      </c>
      <c r="F199" s="3" t="n">
        <v>110</v>
      </c>
      <c r="G199" s="2" t="n">
        <v>33</v>
      </c>
      <c r="H199" s="4" t="n">
        <v>0.95</v>
      </c>
      <c r="I199" s="3" t="n">
        <f aca="false">IF(G199="","",ROUND(F199*(100-G199)/100,0))</f>
        <v>74</v>
      </c>
      <c r="J199" s="2" t="str">
        <f aca="false">IF(G199="","Needs KD",IF(D199&lt;&gt;"Client","Not a buyer",IF(AND(G199&lt;=25,F199&gt;=500),"P1 Quick Win",IF(AND(G199&lt;=35,F199&gt;=200),"P2 High Value",IF(G199&lt;=50,"P3 Build","P4 Long Term")))))</f>
        <v>P3 Build</v>
      </c>
      <c r="K199" s="2" t="s">
        <v>21</v>
      </c>
      <c r="L199" s="2" t="s">
        <v>18</v>
      </c>
      <c r="M199" s="2"/>
    </row>
    <row r="200" customFormat="false" ht="15" hidden="false" customHeight="false" outlineLevel="0" collapsed="false">
      <c r="A200" s="2" t="n">
        <v>199</v>
      </c>
      <c r="B200" s="2" t="s">
        <v>237</v>
      </c>
      <c r="C200" s="2" t="s">
        <v>14</v>
      </c>
      <c r="D200" s="2" t="s">
        <v>15</v>
      </c>
      <c r="E200" s="2" t="s">
        <v>20</v>
      </c>
      <c r="F200" s="3" t="n">
        <v>110</v>
      </c>
      <c r="G200" s="2" t="n">
        <v>37</v>
      </c>
      <c r="H200" s="4" t="n">
        <v>0.07</v>
      </c>
      <c r="I200" s="3" t="n">
        <f aca="false">IF(G200="","",ROUND(F200*(100-G200)/100,0))</f>
        <v>69</v>
      </c>
      <c r="J200" s="2" t="str">
        <f aca="false">IF(G200="","Needs KD",IF(D200&lt;&gt;"Client","Not a buyer",IF(AND(G200&lt;=25,F200&gt;=500),"P1 Quick Win",IF(AND(G200&lt;=35,F200&gt;=200),"P2 High Value",IF(G200&lt;=50,"P3 Build","P4 Long Term")))))</f>
        <v>P3 Build</v>
      </c>
      <c r="K200" s="2" t="s">
        <v>21</v>
      </c>
      <c r="L200" s="2" t="s">
        <v>18</v>
      </c>
      <c r="M200" s="2"/>
    </row>
    <row r="201" customFormat="false" ht="15" hidden="false" customHeight="false" outlineLevel="0" collapsed="false">
      <c r="A201" s="2" t="n">
        <v>200</v>
      </c>
      <c r="B201" s="2" t="s">
        <v>238</v>
      </c>
      <c r="C201" s="2" t="s">
        <v>14</v>
      </c>
      <c r="D201" s="2" t="s">
        <v>15</v>
      </c>
      <c r="E201" s="2" t="s">
        <v>20</v>
      </c>
      <c r="F201" s="3" t="n">
        <v>110</v>
      </c>
      <c r="G201" s="2" t="n">
        <v>28</v>
      </c>
      <c r="H201" s="4" t="n">
        <v>0.78</v>
      </c>
      <c r="I201" s="3" t="n">
        <f aca="false">IF(G201="","",ROUND(F201*(100-G201)/100,0))</f>
        <v>79</v>
      </c>
      <c r="J201" s="2" t="str">
        <f aca="false">IF(G201="","Needs KD",IF(D201&lt;&gt;"Client","Not a buyer",IF(AND(G201&lt;=25,F201&gt;=500),"P1 Quick Win",IF(AND(G201&lt;=35,F201&gt;=200),"P2 High Value",IF(G201&lt;=50,"P3 Build","P4 Long Term")))))</f>
        <v>P3 Build</v>
      </c>
      <c r="K201" s="2" t="s">
        <v>21</v>
      </c>
      <c r="L201" s="2" t="s">
        <v>18</v>
      </c>
      <c r="M201" s="2"/>
    </row>
    <row r="202" customFormat="false" ht="15" hidden="false" customHeight="false" outlineLevel="0" collapsed="false">
      <c r="A202" s="2" t="n">
        <v>201</v>
      </c>
      <c r="B202" s="2" t="s">
        <v>239</v>
      </c>
      <c r="C202" s="2" t="s">
        <v>14</v>
      </c>
      <c r="D202" s="2" t="s">
        <v>15</v>
      </c>
      <c r="E202" s="2" t="s">
        <v>20</v>
      </c>
      <c r="F202" s="3" t="n">
        <v>110</v>
      </c>
      <c r="G202" s="2" t="n">
        <v>15</v>
      </c>
      <c r="H202" s="4" t="n">
        <v>0.7</v>
      </c>
      <c r="I202" s="3" t="n">
        <f aca="false">IF(G202="","",ROUND(F202*(100-G202)/100,0))</f>
        <v>94</v>
      </c>
      <c r="J202" s="2" t="str">
        <f aca="false">IF(G202="","Needs KD",IF(D202&lt;&gt;"Client","Not a buyer",IF(AND(G202&lt;=25,F202&gt;=500),"P1 Quick Win",IF(AND(G202&lt;=35,F202&gt;=200),"P2 High Value",IF(G202&lt;=50,"P3 Build","P4 Long Term")))))</f>
        <v>P3 Build</v>
      </c>
      <c r="K202" s="2" t="s">
        <v>41</v>
      </c>
      <c r="L202" s="2" t="s">
        <v>18</v>
      </c>
      <c r="M202" s="2"/>
    </row>
    <row r="203" customFormat="false" ht="15" hidden="false" customHeight="false" outlineLevel="0" collapsed="false">
      <c r="A203" s="2" t="n">
        <v>202</v>
      </c>
      <c r="B203" s="2" t="s">
        <v>240</v>
      </c>
      <c r="C203" s="2" t="s">
        <v>14</v>
      </c>
      <c r="D203" s="2" t="s">
        <v>15</v>
      </c>
      <c r="E203" s="2" t="s">
        <v>20</v>
      </c>
      <c r="F203" s="3" t="n">
        <v>110</v>
      </c>
      <c r="G203" s="2" t="n">
        <v>16</v>
      </c>
      <c r="H203" s="4" t="n">
        <v>0.16</v>
      </c>
      <c r="I203" s="3" t="n">
        <f aca="false">IF(G203="","",ROUND(F203*(100-G203)/100,0))</f>
        <v>92</v>
      </c>
      <c r="J203" s="2" t="str">
        <f aca="false">IF(G203="","Needs KD",IF(D203&lt;&gt;"Client","Not a buyer",IF(AND(G203&lt;=25,F203&gt;=500),"P1 Quick Win",IF(AND(G203&lt;=35,F203&gt;=200),"P2 High Value",IF(G203&lt;=50,"P3 Build","P4 Long Term")))))</f>
        <v>P3 Build</v>
      </c>
      <c r="K203" s="2" t="s">
        <v>41</v>
      </c>
      <c r="L203" s="2" t="s">
        <v>18</v>
      </c>
      <c r="M203" s="2"/>
    </row>
    <row r="204" customFormat="false" ht="15" hidden="false" customHeight="false" outlineLevel="0" collapsed="false">
      <c r="A204" s="2" t="n">
        <v>203</v>
      </c>
      <c r="B204" s="2" t="s">
        <v>241</v>
      </c>
      <c r="C204" s="2" t="s">
        <v>14</v>
      </c>
      <c r="D204" s="2" t="s">
        <v>15</v>
      </c>
      <c r="E204" s="2" t="s">
        <v>20</v>
      </c>
      <c r="F204" s="3" t="n">
        <v>110</v>
      </c>
      <c r="G204" s="2" t="n">
        <v>17</v>
      </c>
      <c r="H204" s="4" t="n">
        <v>0.18</v>
      </c>
      <c r="I204" s="3" t="n">
        <f aca="false">IF(G204="","",ROUND(F204*(100-G204)/100,0))</f>
        <v>91</v>
      </c>
      <c r="J204" s="2" t="str">
        <f aca="false">IF(G204="","Needs KD",IF(D204&lt;&gt;"Client","Not a buyer",IF(AND(G204&lt;=25,F204&gt;=500),"P1 Quick Win",IF(AND(G204&lt;=35,F204&gt;=200),"P2 High Value",IF(G204&lt;=50,"P3 Build","P4 Long Term")))))</f>
        <v>P3 Build</v>
      </c>
      <c r="K204" s="2" t="s">
        <v>41</v>
      </c>
      <c r="L204" s="2" t="s">
        <v>18</v>
      </c>
      <c r="M204" s="2"/>
    </row>
    <row r="205" customFormat="false" ht="15" hidden="false" customHeight="false" outlineLevel="0" collapsed="false">
      <c r="A205" s="2" t="n">
        <v>204</v>
      </c>
      <c r="B205" s="2" t="s">
        <v>242</v>
      </c>
      <c r="C205" s="2" t="s">
        <v>14</v>
      </c>
      <c r="D205" s="2" t="s">
        <v>15</v>
      </c>
      <c r="E205" s="2" t="s">
        <v>20</v>
      </c>
      <c r="F205" s="3" t="n">
        <v>110</v>
      </c>
      <c r="G205" s="2" t="n">
        <v>22</v>
      </c>
      <c r="H205" s="4" t="n">
        <v>0</v>
      </c>
      <c r="I205" s="3" t="n">
        <f aca="false">IF(G205="","",ROUND(F205*(100-G205)/100,0))</f>
        <v>86</v>
      </c>
      <c r="J205" s="2" t="str">
        <f aca="false">IF(G205="","Needs KD",IF(D205&lt;&gt;"Client","Not a buyer",IF(AND(G205&lt;=25,F205&gt;=500),"P1 Quick Win",IF(AND(G205&lt;=35,F205&gt;=200),"P2 High Value",IF(G205&lt;=50,"P3 Build","P4 Long Term")))))</f>
        <v>P3 Build</v>
      </c>
      <c r="K205" s="2" t="s">
        <v>41</v>
      </c>
      <c r="L205" s="2" t="s">
        <v>18</v>
      </c>
      <c r="M205" s="2"/>
    </row>
    <row r="206" customFormat="false" ht="15" hidden="false" customHeight="false" outlineLevel="0" collapsed="false">
      <c r="A206" s="2" t="n">
        <v>205</v>
      </c>
      <c r="B206" s="2" t="s">
        <v>243</v>
      </c>
      <c r="C206" s="2" t="s">
        <v>14</v>
      </c>
      <c r="D206" s="2" t="s">
        <v>15</v>
      </c>
      <c r="E206" s="2" t="s">
        <v>53</v>
      </c>
      <c r="F206" s="3" t="n">
        <v>110</v>
      </c>
      <c r="G206" s="2" t="n">
        <v>51</v>
      </c>
      <c r="H206" s="4" t="n">
        <v>0.99</v>
      </c>
      <c r="I206" s="3" t="n">
        <f aca="false">IF(G206="","",ROUND(F206*(100-G206)/100,0))</f>
        <v>54</v>
      </c>
      <c r="J206" s="2" t="str">
        <f aca="false">IF(G206="","Needs KD",IF(D206&lt;&gt;"Client","Not a buyer",IF(AND(G206&lt;=25,F206&gt;=500),"P1 Quick Win",IF(AND(G206&lt;=35,F206&gt;=200),"P2 High Value",IF(G206&lt;=50,"P3 Build","P4 Long Term")))))</f>
        <v>P4 Long Term</v>
      </c>
      <c r="K206" s="2" t="s">
        <v>41</v>
      </c>
      <c r="L206" s="2" t="s">
        <v>18</v>
      </c>
      <c r="M206" s="2"/>
    </row>
    <row r="207" customFormat="false" ht="15" hidden="false" customHeight="false" outlineLevel="0" collapsed="false">
      <c r="A207" s="2" t="n">
        <v>206</v>
      </c>
      <c r="B207" s="2" t="s">
        <v>244</v>
      </c>
      <c r="C207" s="2" t="s">
        <v>14</v>
      </c>
      <c r="D207" s="2" t="s">
        <v>15</v>
      </c>
      <c r="E207" s="2" t="s">
        <v>20</v>
      </c>
      <c r="F207" s="3" t="n">
        <v>110</v>
      </c>
      <c r="G207" s="2" t="n">
        <v>35</v>
      </c>
      <c r="H207" s="4" t="n">
        <v>0.53</v>
      </c>
      <c r="I207" s="3" t="n">
        <f aca="false">IF(G207="","",ROUND(F207*(100-G207)/100,0))</f>
        <v>72</v>
      </c>
      <c r="J207" s="2" t="str">
        <f aca="false">IF(G207="","Needs KD",IF(D207&lt;&gt;"Client","Not a buyer",IF(AND(G207&lt;=25,F207&gt;=500),"P1 Quick Win",IF(AND(G207&lt;=35,F207&gt;=200),"P2 High Value",IF(G207&lt;=50,"P3 Build","P4 Long Term")))))</f>
        <v>P3 Build</v>
      </c>
      <c r="K207" s="2" t="s">
        <v>173</v>
      </c>
      <c r="L207" s="2" t="s">
        <v>18</v>
      </c>
      <c r="M207" s="2"/>
    </row>
    <row r="208" customFormat="false" ht="15" hidden="false" customHeight="false" outlineLevel="0" collapsed="false">
      <c r="A208" s="2" t="n">
        <v>207</v>
      </c>
      <c r="B208" s="2" t="s">
        <v>245</v>
      </c>
      <c r="C208" s="2" t="s">
        <v>14</v>
      </c>
      <c r="D208" s="2" t="s">
        <v>15</v>
      </c>
      <c r="E208" s="2" t="s">
        <v>39</v>
      </c>
      <c r="F208" s="3" t="n">
        <v>110</v>
      </c>
      <c r="G208" s="2" t="n">
        <v>22</v>
      </c>
      <c r="H208" s="4" t="n">
        <v>0.77</v>
      </c>
      <c r="I208" s="3" t="n">
        <f aca="false">IF(G208="","",ROUND(F208*(100-G208)/100,0))</f>
        <v>86</v>
      </c>
      <c r="J208" s="2" t="str">
        <f aca="false">IF(G208="","Needs KD",IF(D208&lt;&gt;"Client","Not a buyer",IF(AND(G208&lt;=25,F208&gt;=500),"P1 Quick Win",IF(AND(G208&lt;=35,F208&gt;=200),"P2 High Value",IF(G208&lt;=50,"P3 Build","P4 Long Term")))))</f>
        <v>P3 Build</v>
      </c>
      <c r="K208" s="2" t="s">
        <v>173</v>
      </c>
      <c r="L208" s="2" t="s">
        <v>18</v>
      </c>
      <c r="M208" s="2"/>
    </row>
    <row r="209" customFormat="false" ht="15" hidden="false" customHeight="false" outlineLevel="0" collapsed="false">
      <c r="A209" s="2" t="n">
        <v>208</v>
      </c>
      <c r="B209" s="2" t="s">
        <v>246</v>
      </c>
      <c r="C209" s="2" t="s">
        <v>14</v>
      </c>
      <c r="D209" s="2" t="s">
        <v>15</v>
      </c>
      <c r="E209" s="2" t="s">
        <v>20</v>
      </c>
      <c r="F209" s="3" t="n">
        <v>110</v>
      </c>
      <c r="G209" s="2" t="n">
        <v>19</v>
      </c>
      <c r="H209" s="4" t="n">
        <v>0</v>
      </c>
      <c r="I209" s="3" t="n">
        <f aca="false">IF(G209="","",ROUND(F209*(100-G209)/100,0))</f>
        <v>89</v>
      </c>
      <c r="J209" s="2" t="str">
        <f aca="false">IF(G209="","Needs KD",IF(D209&lt;&gt;"Client","Not a buyer",IF(AND(G209&lt;=25,F209&gt;=500),"P1 Quick Win",IF(AND(G209&lt;=35,F209&gt;=200),"P2 High Value",IF(G209&lt;=50,"P3 Build","P4 Long Term")))))</f>
        <v>P3 Build</v>
      </c>
      <c r="K209" s="2" t="s">
        <v>173</v>
      </c>
      <c r="L209" s="2" t="s">
        <v>18</v>
      </c>
      <c r="M209" s="2"/>
    </row>
    <row r="210" customFormat="false" ht="15" hidden="false" customHeight="false" outlineLevel="0" collapsed="false">
      <c r="A210" s="5" t="n">
        <v>209</v>
      </c>
      <c r="B210" s="5" t="s">
        <v>247</v>
      </c>
      <c r="C210" s="5" t="s">
        <v>14</v>
      </c>
      <c r="D210" s="5" t="s">
        <v>62</v>
      </c>
      <c r="E210" s="5" t="s">
        <v>20</v>
      </c>
      <c r="F210" s="6" t="n">
        <v>110</v>
      </c>
      <c r="G210" s="5" t="n">
        <v>22</v>
      </c>
      <c r="H210" s="7" t="n">
        <v>0.91</v>
      </c>
      <c r="I210" s="6" t="n">
        <f aca="false">IF(G210="","",ROUND(F210*(100-G210)/100,0))</f>
        <v>86</v>
      </c>
      <c r="J210" s="5" t="str">
        <f aca="false">IF(G210="","Needs KD",IF(D210&lt;&gt;"Client","Not a buyer",IF(AND(G210&lt;=25,F210&gt;=500),"P1 Quick Win",IF(AND(G210&lt;=35,F210&gt;=200),"P2 High Value",IF(G210&lt;=50,"P3 Build","P4 Long Term")))))</f>
        <v>Not a buyer</v>
      </c>
      <c r="K210" s="5" t="s">
        <v>63</v>
      </c>
      <c r="L210" s="5" t="s">
        <v>18</v>
      </c>
      <c r="M210" s="5"/>
    </row>
    <row r="211" customFormat="false" ht="15" hidden="false" customHeight="false" outlineLevel="0" collapsed="false">
      <c r="A211" s="5" t="n">
        <v>210</v>
      </c>
      <c r="B211" s="5" t="s">
        <v>248</v>
      </c>
      <c r="C211" s="5" t="s">
        <v>14</v>
      </c>
      <c r="D211" s="5" t="s">
        <v>219</v>
      </c>
      <c r="E211" s="5" t="s">
        <v>20</v>
      </c>
      <c r="F211" s="6" t="n">
        <v>110</v>
      </c>
      <c r="G211" s="5" t="n">
        <v>16</v>
      </c>
      <c r="H211" s="7" t="n">
        <v>0</v>
      </c>
      <c r="I211" s="6" t="n">
        <f aca="false">IF(G211="","",ROUND(F211*(100-G211)/100,0))</f>
        <v>92</v>
      </c>
      <c r="J211" s="5" t="str">
        <f aca="false">IF(G211="","Needs KD",IF(D211&lt;&gt;"Client","Not a buyer",IF(AND(G211&lt;=25,F211&gt;=500),"P1 Quick Win",IF(AND(G211&lt;=35,F211&gt;=200),"P2 High Value",IF(G211&lt;=50,"P3 Build","P4 Long Term")))))</f>
        <v>Not a buyer</v>
      </c>
      <c r="K211" s="5" t="s">
        <v>63</v>
      </c>
      <c r="L211" s="5" t="s">
        <v>18</v>
      </c>
      <c r="M211" s="5"/>
    </row>
    <row r="212" customFormat="false" ht="15" hidden="false" customHeight="false" outlineLevel="0" collapsed="false">
      <c r="A212" s="2" t="n">
        <v>211</v>
      </c>
      <c r="B212" s="2" t="s">
        <v>249</v>
      </c>
      <c r="C212" s="2" t="s">
        <v>14</v>
      </c>
      <c r="D212" s="2" t="s">
        <v>15</v>
      </c>
      <c r="E212" s="2" t="s">
        <v>20</v>
      </c>
      <c r="F212" s="3" t="n">
        <v>110</v>
      </c>
      <c r="G212" s="2" t="n">
        <v>13</v>
      </c>
      <c r="H212" s="4" t="n">
        <v>0.35</v>
      </c>
      <c r="I212" s="3" t="n">
        <f aca="false">IF(G212="","",ROUND(F212*(100-G212)/100,0))</f>
        <v>96</v>
      </c>
      <c r="J212" s="2" t="str">
        <f aca="false">IF(G212="","Needs KD",IF(D212&lt;&gt;"Client","Not a buyer",IF(AND(G212&lt;=25,F212&gt;=500),"P1 Quick Win",IF(AND(G212&lt;=35,F212&gt;=200),"P2 High Value",IF(G212&lt;=50,"P3 Build","P4 Long Term")))))</f>
        <v>P3 Build</v>
      </c>
      <c r="K212" s="2" t="s">
        <v>45</v>
      </c>
      <c r="L212" s="2" t="s">
        <v>18</v>
      </c>
      <c r="M212" s="2"/>
    </row>
    <row r="213" customFormat="false" ht="15" hidden="false" customHeight="false" outlineLevel="0" collapsed="false">
      <c r="A213" s="2" t="n">
        <v>212</v>
      </c>
      <c r="B213" s="2" t="s">
        <v>250</v>
      </c>
      <c r="C213" s="2" t="s">
        <v>14</v>
      </c>
      <c r="D213" s="2" t="s">
        <v>15</v>
      </c>
      <c r="E213" s="2" t="s">
        <v>53</v>
      </c>
      <c r="F213" s="3" t="n">
        <v>110</v>
      </c>
      <c r="G213" s="2" t="n">
        <v>34</v>
      </c>
      <c r="H213" s="4" t="n">
        <v>0</v>
      </c>
      <c r="I213" s="3" t="n">
        <f aca="false">IF(G213="","",ROUND(F213*(100-G213)/100,0))</f>
        <v>73</v>
      </c>
      <c r="J213" s="2" t="str">
        <f aca="false">IF(G213="","Needs KD",IF(D213&lt;&gt;"Client","Not a buyer",IF(AND(G213&lt;=25,F213&gt;=500),"P1 Quick Win",IF(AND(G213&lt;=35,F213&gt;=200),"P2 High Value",IF(G213&lt;=50,"P3 Build","P4 Long Term")))))</f>
        <v>P3 Build</v>
      </c>
      <c r="K213" s="2" t="s">
        <v>81</v>
      </c>
      <c r="L213" s="2" t="s">
        <v>18</v>
      </c>
      <c r="M213" s="2"/>
    </row>
    <row r="214" customFormat="false" ht="15" hidden="false" customHeight="false" outlineLevel="0" collapsed="false">
      <c r="A214" s="2" t="n">
        <v>213</v>
      </c>
      <c r="B214" s="2" t="s">
        <v>251</v>
      </c>
      <c r="C214" s="2" t="s">
        <v>14</v>
      </c>
      <c r="D214" s="2" t="s">
        <v>15</v>
      </c>
      <c r="E214" s="2" t="s">
        <v>34</v>
      </c>
      <c r="F214" s="3" t="n">
        <v>110</v>
      </c>
      <c r="G214" s="2" t="n">
        <v>33</v>
      </c>
      <c r="H214" s="4" t="n">
        <v>0</v>
      </c>
      <c r="I214" s="3" t="n">
        <f aca="false">IF(G214="","",ROUND(F214*(100-G214)/100,0))</f>
        <v>74</v>
      </c>
      <c r="J214" s="2" t="str">
        <f aca="false">IF(G214="","Needs KD",IF(D214&lt;&gt;"Client","Not a buyer",IF(AND(G214&lt;=25,F214&gt;=500),"P1 Quick Win",IF(AND(G214&lt;=35,F214&gt;=200),"P2 High Value",IF(G214&lt;=50,"P3 Build","P4 Long Term")))))</f>
        <v>P3 Build</v>
      </c>
      <c r="K214" s="2" t="s">
        <v>81</v>
      </c>
      <c r="L214" s="2" t="s">
        <v>18</v>
      </c>
      <c r="M214" s="2"/>
    </row>
    <row r="215" customFormat="false" ht="15" hidden="false" customHeight="false" outlineLevel="0" collapsed="false">
      <c r="A215" s="2" t="n">
        <v>214</v>
      </c>
      <c r="B215" s="2" t="s">
        <v>252</v>
      </c>
      <c r="C215" s="2" t="s">
        <v>14</v>
      </c>
      <c r="D215" s="2" t="s">
        <v>15</v>
      </c>
      <c r="E215" s="2" t="s">
        <v>20</v>
      </c>
      <c r="F215" s="3" t="n">
        <v>110</v>
      </c>
      <c r="G215" s="2" t="n">
        <v>15</v>
      </c>
      <c r="H215" s="4" t="n">
        <v>0</v>
      </c>
      <c r="I215" s="3" t="n">
        <f aca="false">IF(G215="","",ROUND(F215*(100-G215)/100,0))</f>
        <v>94</v>
      </c>
      <c r="J215" s="2" t="str">
        <f aca="false">IF(G215="","Needs KD",IF(D215&lt;&gt;"Client","Not a buyer",IF(AND(G215&lt;=25,F215&gt;=500),"P1 Quick Win",IF(AND(G215&lt;=35,F215&gt;=200),"P2 High Value",IF(G215&lt;=50,"P3 Build","P4 Long Term")))))</f>
        <v>P3 Build</v>
      </c>
      <c r="K215" s="2" t="s">
        <v>81</v>
      </c>
      <c r="L215" s="2" t="s">
        <v>18</v>
      </c>
      <c r="M215" s="2"/>
    </row>
    <row r="216" customFormat="false" ht="15" hidden="false" customHeight="false" outlineLevel="0" collapsed="false">
      <c r="A216" s="5" t="n">
        <v>215</v>
      </c>
      <c r="B216" s="5" t="s">
        <v>253</v>
      </c>
      <c r="C216" s="5" t="s">
        <v>14</v>
      </c>
      <c r="D216" s="5" t="s">
        <v>73</v>
      </c>
      <c r="E216" s="5" t="s">
        <v>20</v>
      </c>
      <c r="F216" s="6" t="n">
        <v>110</v>
      </c>
      <c r="G216" s="5" t="n">
        <v>12</v>
      </c>
      <c r="H216" s="7" t="n">
        <v>0</v>
      </c>
      <c r="I216" s="6" t="n">
        <f aca="false">IF(G216="","",ROUND(F216*(100-G216)/100,0))</f>
        <v>97</v>
      </c>
      <c r="J216" s="5" t="str">
        <f aca="false">IF(G216="","Needs KD",IF(D216&lt;&gt;"Client","Not a buyer",IF(AND(G216&lt;=25,F216&gt;=500),"P1 Quick Win",IF(AND(G216&lt;=35,F216&gt;=200),"P2 High Value",IF(G216&lt;=50,"P3 Build","P4 Long Term")))))</f>
        <v>Not a buyer</v>
      </c>
      <c r="K216" s="5" t="s">
        <v>103</v>
      </c>
      <c r="L216" s="5" t="s">
        <v>18</v>
      </c>
      <c r="M216" s="5"/>
    </row>
    <row r="217" customFormat="false" ht="15" hidden="false" customHeight="false" outlineLevel="0" collapsed="false">
      <c r="A217" s="2" t="n">
        <v>216</v>
      </c>
      <c r="B217" s="2" t="s">
        <v>254</v>
      </c>
      <c r="C217" s="2" t="s">
        <v>14</v>
      </c>
      <c r="D217" s="2" t="s">
        <v>15</v>
      </c>
      <c r="E217" s="2" t="s">
        <v>20</v>
      </c>
      <c r="F217" s="3" t="n">
        <v>110</v>
      </c>
      <c r="G217" s="2" t="n">
        <v>56</v>
      </c>
      <c r="H217" s="4" t="n">
        <v>0.09</v>
      </c>
      <c r="I217" s="3" t="n">
        <f aca="false">IF(G217="","",ROUND(F217*(100-G217)/100,0))</f>
        <v>48</v>
      </c>
      <c r="J217" s="2" t="str">
        <f aca="false">IF(G217="","Needs KD",IF(D217&lt;&gt;"Client","Not a buyer",IF(AND(G217&lt;=25,F217&gt;=500),"P1 Quick Win",IF(AND(G217&lt;=35,F217&gt;=200),"P2 High Value",IF(G217&lt;=50,"P3 Build","P4 Long Term")))))</f>
        <v>P4 Long Term</v>
      </c>
      <c r="K217" s="2" t="s">
        <v>83</v>
      </c>
      <c r="L217" s="2" t="s">
        <v>18</v>
      </c>
      <c r="M217" s="2"/>
    </row>
    <row r="218" customFormat="false" ht="15" hidden="false" customHeight="false" outlineLevel="0" collapsed="false">
      <c r="A218" s="2" t="n">
        <v>217</v>
      </c>
      <c r="B218" s="2" t="s">
        <v>255</v>
      </c>
      <c r="C218" s="2" t="s">
        <v>14</v>
      </c>
      <c r="D218" s="2" t="s">
        <v>15</v>
      </c>
      <c r="E218" s="2" t="s">
        <v>16</v>
      </c>
      <c r="F218" s="3" t="n">
        <v>110</v>
      </c>
      <c r="G218" s="2" t="n">
        <v>59</v>
      </c>
      <c r="H218" s="4" t="n">
        <v>0.36</v>
      </c>
      <c r="I218" s="3" t="n">
        <f aca="false">IF(G218="","",ROUND(F218*(100-G218)/100,0))</f>
        <v>45</v>
      </c>
      <c r="J218" s="2" t="str">
        <f aca="false">IF(G218="","Needs KD",IF(D218&lt;&gt;"Client","Not a buyer",IF(AND(G218&lt;=25,F218&gt;=500),"P1 Quick Win",IF(AND(G218&lt;=35,F218&gt;=200),"P2 High Value",IF(G218&lt;=50,"P3 Build","P4 Long Term")))))</f>
        <v>P4 Long Term</v>
      </c>
      <c r="K218" s="2" t="s">
        <v>83</v>
      </c>
      <c r="L218" s="2" t="s">
        <v>18</v>
      </c>
      <c r="M218" s="2"/>
    </row>
    <row r="219" customFormat="false" ht="15" hidden="false" customHeight="false" outlineLevel="0" collapsed="false">
      <c r="A219" s="2" t="n">
        <v>218</v>
      </c>
      <c r="B219" s="2" t="s">
        <v>256</v>
      </c>
      <c r="C219" s="2" t="s">
        <v>14</v>
      </c>
      <c r="D219" s="2" t="s">
        <v>15</v>
      </c>
      <c r="E219" s="2" t="s">
        <v>16</v>
      </c>
      <c r="F219" s="3" t="n">
        <v>110</v>
      </c>
      <c r="G219" s="2" t="n">
        <v>66</v>
      </c>
      <c r="H219" s="4" t="n">
        <v>0.53</v>
      </c>
      <c r="I219" s="3" t="n">
        <f aca="false">IF(G219="","",ROUND(F219*(100-G219)/100,0))</f>
        <v>37</v>
      </c>
      <c r="J219" s="2" t="str">
        <f aca="false">IF(G219="","Needs KD",IF(D219&lt;&gt;"Client","Not a buyer",IF(AND(G219&lt;=25,F219&gt;=500),"P1 Quick Win",IF(AND(G219&lt;=35,F219&gt;=200),"P2 High Value",IF(G219&lt;=50,"P3 Build","P4 Long Term")))))</f>
        <v>P4 Long Term</v>
      </c>
      <c r="K219" s="2" t="s">
        <v>83</v>
      </c>
      <c r="L219" s="2" t="s">
        <v>18</v>
      </c>
      <c r="M219" s="2"/>
    </row>
    <row r="220" customFormat="false" ht="15" hidden="false" customHeight="false" outlineLevel="0" collapsed="false">
      <c r="A220" s="2" t="n">
        <v>219</v>
      </c>
      <c r="B220" s="2" t="s">
        <v>257</v>
      </c>
      <c r="C220" s="2" t="s">
        <v>14</v>
      </c>
      <c r="D220" s="2" t="s">
        <v>15</v>
      </c>
      <c r="E220" s="2" t="s">
        <v>20</v>
      </c>
      <c r="F220" s="3" t="n">
        <v>90</v>
      </c>
      <c r="G220" s="2"/>
      <c r="H220" s="4" t="n">
        <v>0</v>
      </c>
      <c r="I220" s="3" t="str">
        <f aca="false">IF(G220="","",ROUND(F220*(100-G220)/100,0))</f>
        <v/>
      </c>
      <c r="J220" s="2" t="str">
        <f aca="false">IF(G220="","Needs KD",IF(D220&lt;&gt;"Client","Not a buyer",IF(AND(G220&lt;=25,F220&gt;=500),"P1 Quick Win",IF(AND(G220&lt;=35,F220&gt;=200),"P2 High Value",IF(G220&lt;=50,"P3 Build","P4 Long Term")))))</f>
        <v>Needs KD</v>
      </c>
      <c r="K220" s="2" t="s">
        <v>25</v>
      </c>
      <c r="L220" s="2" t="s">
        <v>18</v>
      </c>
      <c r="M220" s="2"/>
    </row>
    <row r="221" customFormat="false" ht="15" hidden="false" customHeight="false" outlineLevel="0" collapsed="false">
      <c r="A221" s="2" t="n">
        <v>220</v>
      </c>
      <c r="B221" s="2" t="s">
        <v>258</v>
      </c>
      <c r="C221" s="2" t="s">
        <v>14</v>
      </c>
      <c r="D221" s="2" t="s">
        <v>15</v>
      </c>
      <c r="E221" s="2" t="s">
        <v>20</v>
      </c>
      <c r="F221" s="3" t="n">
        <v>90</v>
      </c>
      <c r="G221" s="2" t="n">
        <v>9</v>
      </c>
      <c r="H221" s="4" t="n">
        <v>1.05</v>
      </c>
      <c r="I221" s="3" t="n">
        <f aca="false">IF(G221="","",ROUND(F221*(100-G221)/100,0))</f>
        <v>82</v>
      </c>
      <c r="J221" s="2" t="str">
        <f aca="false">IF(G221="","Needs KD",IF(D221&lt;&gt;"Client","Not a buyer",IF(AND(G221&lt;=25,F221&gt;=500),"P1 Quick Win",IF(AND(G221&lt;=35,F221&gt;=200),"P2 High Value",IF(G221&lt;=50,"P3 Build","P4 Long Term")))))</f>
        <v>P3 Build</v>
      </c>
      <c r="K221" s="2" t="s">
        <v>23</v>
      </c>
      <c r="L221" s="2" t="s">
        <v>18</v>
      </c>
      <c r="M221" s="2"/>
    </row>
    <row r="222" customFormat="false" ht="15" hidden="false" customHeight="false" outlineLevel="0" collapsed="false">
      <c r="A222" s="2" t="n">
        <v>221</v>
      </c>
      <c r="B222" s="2" t="s">
        <v>259</v>
      </c>
      <c r="C222" s="2" t="s">
        <v>14</v>
      </c>
      <c r="D222" s="2" t="s">
        <v>15</v>
      </c>
      <c r="E222" s="2" t="s">
        <v>44</v>
      </c>
      <c r="F222" s="3" t="n">
        <v>90</v>
      </c>
      <c r="G222" s="2" t="n">
        <v>33</v>
      </c>
      <c r="H222" s="4" t="n">
        <v>1.24</v>
      </c>
      <c r="I222" s="3" t="n">
        <f aca="false">IF(G222="","",ROUND(F222*(100-G222)/100,0))</f>
        <v>60</v>
      </c>
      <c r="J222" s="2" t="str">
        <f aca="false">IF(G222="","Needs KD",IF(D222&lt;&gt;"Client","Not a buyer",IF(AND(G222&lt;=25,F222&gt;=500),"P1 Quick Win",IF(AND(G222&lt;=35,F222&gt;=200),"P2 High Value",IF(G222&lt;=50,"P3 Build","P4 Long Term")))))</f>
        <v>P3 Build</v>
      </c>
      <c r="K222" s="2" t="s">
        <v>37</v>
      </c>
      <c r="L222" s="2" t="s">
        <v>18</v>
      </c>
      <c r="M222" s="2"/>
    </row>
    <row r="223" customFormat="false" ht="15" hidden="false" customHeight="false" outlineLevel="0" collapsed="false">
      <c r="A223" s="2" t="n">
        <v>222</v>
      </c>
      <c r="B223" s="2" t="s">
        <v>260</v>
      </c>
      <c r="C223" s="2" t="s">
        <v>14</v>
      </c>
      <c r="D223" s="2" t="s">
        <v>15</v>
      </c>
      <c r="E223" s="2" t="s">
        <v>20</v>
      </c>
      <c r="F223" s="3" t="n">
        <v>90</v>
      </c>
      <c r="G223" s="2" t="n">
        <v>55</v>
      </c>
      <c r="H223" s="4" t="n">
        <v>0.88</v>
      </c>
      <c r="I223" s="3" t="n">
        <f aca="false">IF(G223="","",ROUND(F223*(100-G223)/100,0))</f>
        <v>41</v>
      </c>
      <c r="J223" s="2" t="str">
        <f aca="false">IF(G223="","Needs KD",IF(D223&lt;&gt;"Client","Not a buyer",IF(AND(G223&lt;=25,F223&gt;=500),"P1 Quick Win",IF(AND(G223&lt;=35,F223&gt;=200),"P2 High Value",IF(G223&lt;=50,"P3 Build","P4 Long Term")))))</f>
        <v>P4 Long Term</v>
      </c>
      <c r="K223" s="2" t="s">
        <v>21</v>
      </c>
      <c r="L223" s="2" t="s">
        <v>18</v>
      </c>
      <c r="M223" s="2"/>
    </row>
    <row r="224" customFormat="false" ht="15" hidden="false" customHeight="false" outlineLevel="0" collapsed="false">
      <c r="A224" s="2" t="n">
        <v>223</v>
      </c>
      <c r="B224" s="2" t="s">
        <v>261</v>
      </c>
      <c r="C224" s="2" t="s">
        <v>14</v>
      </c>
      <c r="D224" s="2" t="s">
        <v>15</v>
      </c>
      <c r="E224" s="2" t="s">
        <v>20</v>
      </c>
      <c r="F224" s="3" t="n">
        <v>90</v>
      </c>
      <c r="G224" s="2" t="n">
        <v>37</v>
      </c>
      <c r="H224" s="4" t="n">
        <v>0.57</v>
      </c>
      <c r="I224" s="3" t="n">
        <f aca="false">IF(G224="","",ROUND(F224*(100-G224)/100,0))</f>
        <v>57</v>
      </c>
      <c r="J224" s="2" t="str">
        <f aca="false">IF(G224="","Needs KD",IF(D224&lt;&gt;"Client","Not a buyer",IF(AND(G224&lt;=25,F224&gt;=500),"P1 Quick Win",IF(AND(G224&lt;=35,F224&gt;=200),"P2 High Value",IF(G224&lt;=50,"P3 Build","P4 Long Term")))))</f>
        <v>P3 Build</v>
      </c>
      <c r="K224" s="2" t="s">
        <v>21</v>
      </c>
      <c r="L224" s="2" t="s">
        <v>18</v>
      </c>
      <c r="M224" s="2"/>
    </row>
    <row r="225" customFormat="false" ht="15" hidden="false" customHeight="false" outlineLevel="0" collapsed="false">
      <c r="A225" s="2" t="n">
        <v>224</v>
      </c>
      <c r="B225" s="2" t="s">
        <v>262</v>
      </c>
      <c r="C225" s="2" t="s">
        <v>14</v>
      </c>
      <c r="D225" s="2" t="s">
        <v>15</v>
      </c>
      <c r="E225" s="2" t="s">
        <v>20</v>
      </c>
      <c r="F225" s="3" t="n">
        <v>90</v>
      </c>
      <c r="G225" s="2" t="n">
        <v>38</v>
      </c>
      <c r="H225" s="4" t="n">
        <v>0.09</v>
      </c>
      <c r="I225" s="3" t="n">
        <f aca="false">IF(G225="","",ROUND(F225*(100-G225)/100,0))</f>
        <v>56</v>
      </c>
      <c r="J225" s="2" t="str">
        <f aca="false">IF(G225="","Needs KD",IF(D225&lt;&gt;"Client","Not a buyer",IF(AND(G225&lt;=25,F225&gt;=500),"P1 Quick Win",IF(AND(G225&lt;=35,F225&gt;=200),"P2 High Value",IF(G225&lt;=50,"P3 Build","P4 Long Term")))))</f>
        <v>P3 Build</v>
      </c>
      <c r="K225" s="2" t="s">
        <v>21</v>
      </c>
      <c r="L225" s="2" t="s">
        <v>18</v>
      </c>
      <c r="M225" s="2"/>
    </row>
    <row r="226" customFormat="false" ht="15" hidden="false" customHeight="false" outlineLevel="0" collapsed="false">
      <c r="A226" s="2" t="n">
        <v>225</v>
      </c>
      <c r="B226" s="2" t="s">
        <v>263</v>
      </c>
      <c r="C226" s="2" t="s">
        <v>14</v>
      </c>
      <c r="D226" s="2" t="s">
        <v>15</v>
      </c>
      <c r="E226" s="2" t="s">
        <v>20</v>
      </c>
      <c r="F226" s="3" t="n">
        <v>90</v>
      </c>
      <c r="G226" s="2" t="n">
        <v>52</v>
      </c>
      <c r="H226" s="4" t="n">
        <v>0.06</v>
      </c>
      <c r="I226" s="3" t="n">
        <f aca="false">IF(G226="","",ROUND(F226*(100-G226)/100,0))</f>
        <v>43</v>
      </c>
      <c r="J226" s="2" t="str">
        <f aca="false">IF(G226="","Needs KD",IF(D226&lt;&gt;"Client","Not a buyer",IF(AND(G226&lt;=25,F226&gt;=500),"P1 Quick Win",IF(AND(G226&lt;=35,F226&gt;=200),"P2 High Value",IF(G226&lt;=50,"P3 Build","P4 Long Term")))))</f>
        <v>P4 Long Term</v>
      </c>
      <c r="K226" s="2" t="s">
        <v>17</v>
      </c>
      <c r="L226" s="2" t="s">
        <v>18</v>
      </c>
      <c r="M226" s="2"/>
    </row>
    <row r="227" customFormat="false" ht="15" hidden="false" customHeight="false" outlineLevel="0" collapsed="false">
      <c r="A227" s="2" t="n">
        <v>226</v>
      </c>
      <c r="B227" s="2" t="s">
        <v>264</v>
      </c>
      <c r="C227" s="2" t="s">
        <v>14</v>
      </c>
      <c r="D227" s="2" t="s">
        <v>15</v>
      </c>
      <c r="E227" s="2" t="s">
        <v>20</v>
      </c>
      <c r="F227" s="3" t="n">
        <v>90</v>
      </c>
      <c r="G227" s="2" t="n">
        <v>22</v>
      </c>
      <c r="H227" s="4" t="n">
        <v>0.68</v>
      </c>
      <c r="I227" s="3" t="n">
        <f aca="false">IF(G227="","",ROUND(F227*(100-G227)/100,0))</f>
        <v>70</v>
      </c>
      <c r="J227" s="2" t="str">
        <f aca="false">IF(G227="","Needs KD",IF(D227&lt;&gt;"Client","Not a buyer",IF(AND(G227&lt;=25,F227&gt;=500),"P1 Quick Win",IF(AND(G227&lt;=35,F227&gt;=200),"P2 High Value",IF(G227&lt;=50,"P3 Build","P4 Long Term")))))</f>
        <v>P3 Build</v>
      </c>
      <c r="K227" s="2" t="s">
        <v>173</v>
      </c>
      <c r="L227" s="2" t="s">
        <v>18</v>
      </c>
      <c r="M227" s="2"/>
    </row>
    <row r="228" customFormat="false" ht="15" hidden="false" customHeight="false" outlineLevel="0" collapsed="false">
      <c r="A228" s="2" t="n">
        <v>227</v>
      </c>
      <c r="B228" s="2" t="s">
        <v>265</v>
      </c>
      <c r="C228" s="2" t="s">
        <v>14</v>
      </c>
      <c r="D228" s="2" t="s">
        <v>15</v>
      </c>
      <c r="E228" s="2" t="s">
        <v>20</v>
      </c>
      <c r="F228" s="3" t="n">
        <v>90</v>
      </c>
      <c r="G228" s="2" t="n">
        <v>35</v>
      </c>
      <c r="H228" s="4" t="n">
        <v>0.75</v>
      </c>
      <c r="I228" s="3" t="n">
        <f aca="false">IF(G228="","",ROUND(F228*(100-G228)/100,0))</f>
        <v>59</v>
      </c>
      <c r="J228" s="2" t="str">
        <f aca="false">IF(G228="","Needs KD",IF(D228&lt;&gt;"Client","Not a buyer",IF(AND(G228&lt;=25,F228&gt;=500),"P1 Quick Win",IF(AND(G228&lt;=35,F228&gt;=200),"P2 High Value",IF(G228&lt;=50,"P3 Build","P4 Long Term")))))</f>
        <v>P3 Build</v>
      </c>
      <c r="K228" s="2" t="s">
        <v>173</v>
      </c>
      <c r="L228" s="2" t="s">
        <v>18</v>
      </c>
      <c r="M228" s="2"/>
    </row>
    <row r="229" customFormat="false" ht="15" hidden="false" customHeight="false" outlineLevel="0" collapsed="false">
      <c r="A229" s="2" t="n">
        <v>228</v>
      </c>
      <c r="B229" s="2" t="s">
        <v>266</v>
      </c>
      <c r="C229" s="2" t="s">
        <v>14</v>
      </c>
      <c r="D229" s="2" t="s">
        <v>15</v>
      </c>
      <c r="E229" s="2" t="s">
        <v>20</v>
      </c>
      <c r="F229" s="3" t="n">
        <v>90</v>
      </c>
      <c r="G229" s="2" t="n">
        <v>45</v>
      </c>
      <c r="H229" s="4" t="n">
        <v>0.37</v>
      </c>
      <c r="I229" s="3" t="n">
        <f aca="false">IF(G229="","",ROUND(F229*(100-G229)/100,0))</f>
        <v>50</v>
      </c>
      <c r="J229" s="2" t="str">
        <f aca="false">IF(G229="","Needs KD",IF(D229&lt;&gt;"Client","Not a buyer",IF(AND(G229&lt;=25,F229&gt;=500),"P1 Quick Win",IF(AND(G229&lt;=35,F229&gt;=200),"P2 High Value",IF(G229&lt;=50,"P3 Build","P4 Long Term")))))</f>
        <v>P3 Build</v>
      </c>
      <c r="K229" s="2" t="s">
        <v>173</v>
      </c>
      <c r="L229" s="2" t="s">
        <v>18</v>
      </c>
      <c r="M229" s="2"/>
    </row>
    <row r="230" customFormat="false" ht="15" hidden="false" customHeight="false" outlineLevel="0" collapsed="false">
      <c r="A230" s="5" t="n">
        <v>229</v>
      </c>
      <c r="B230" s="5" t="s">
        <v>267</v>
      </c>
      <c r="C230" s="5" t="s">
        <v>14</v>
      </c>
      <c r="D230" s="5" t="s">
        <v>62</v>
      </c>
      <c r="E230" s="5" t="s">
        <v>20</v>
      </c>
      <c r="F230" s="6" t="n">
        <v>90</v>
      </c>
      <c r="G230" s="5" t="n">
        <v>15</v>
      </c>
      <c r="H230" s="7" t="n">
        <v>0.9</v>
      </c>
      <c r="I230" s="6" t="n">
        <f aca="false">IF(G230="","",ROUND(F230*(100-G230)/100,0))</f>
        <v>77</v>
      </c>
      <c r="J230" s="5" t="str">
        <f aca="false">IF(G230="","Needs KD",IF(D230&lt;&gt;"Client","Not a buyer",IF(AND(G230&lt;=25,F230&gt;=500),"P1 Quick Win",IF(AND(G230&lt;=35,F230&gt;=200),"P2 High Value",IF(G230&lt;=50,"P3 Build","P4 Long Term")))))</f>
        <v>Not a buyer</v>
      </c>
      <c r="K230" s="5" t="s">
        <v>63</v>
      </c>
      <c r="L230" s="5" t="s">
        <v>18</v>
      </c>
      <c r="M230" s="5"/>
    </row>
    <row r="231" customFormat="false" ht="15" hidden="false" customHeight="false" outlineLevel="0" collapsed="false">
      <c r="A231" s="2" t="n">
        <v>230</v>
      </c>
      <c r="B231" s="2" t="s">
        <v>268</v>
      </c>
      <c r="C231" s="2" t="s">
        <v>14</v>
      </c>
      <c r="D231" s="2" t="s">
        <v>15</v>
      </c>
      <c r="E231" s="2" t="s">
        <v>20</v>
      </c>
      <c r="F231" s="3" t="n">
        <v>90</v>
      </c>
      <c r="G231" s="2" t="n">
        <v>20</v>
      </c>
      <c r="H231" s="4" t="n">
        <v>1.96</v>
      </c>
      <c r="I231" s="3" t="n">
        <f aca="false">IF(G231="","",ROUND(F231*(100-G231)/100,0))</f>
        <v>72</v>
      </c>
      <c r="J231" s="2" t="str">
        <f aca="false">IF(G231="","Needs KD",IF(D231&lt;&gt;"Client","Not a buyer",IF(AND(G231&lt;=25,F231&gt;=500),"P1 Quick Win",IF(AND(G231&lt;=35,F231&gt;=200),"P2 High Value",IF(G231&lt;=50,"P3 Build","P4 Long Term")))))</f>
        <v>P3 Build</v>
      </c>
      <c r="K231" s="2" t="s">
        <v>63</v>
      </c>
      <c r="L231" s="2" t="s">
        <v>18</v>
      </c>
      <c r="M231" s="2"/>
    </row>
    <row r="232" customFormat="false" ht="15" hidden="false" customHeight="false" outlineLevel="0" collapsed="false">
      <c r="A232" s="2" t="n">
        <v>231</v>
      </c>
      <c r="B232" s="2" t="s">
        <v>269</v>
      </c>
      <c r="C232" s="2" t="s">
        <v>14</v>
      </c>
      <c r="D232" s="2" t="s">
        <v>15</v>
      </c>
      <c r="E232" s="2" t="s">
        <v>20</v>
      </c>
      <c r="F232" s="3" t="n">
        <v>90</v>
      </c>
      <c r="G232" s="2" t="n">
        <v>16</v>
      </c>
      <c r="H232" s="4" t="n">
        <v>0.53</v>
      </c>
      <c r="I232" s="3" t="n">
        <f aca="false">IF(G232="","",ROUND(F232*(100-G232)/100,0))</f>
        <v>76</v>
      </c>
      <c r="J232" s="2" t="str">
        <f aca="false">IF(G232="","Needs KD",IF(D232&lt;&gt;"Client","Not a buyer",IF(AND(G232&lt;=25,F232&gt;=500),"P1 Quick Win",IF(AND(G232&lt;=35,F232&gt;=200),"P2 High Value",IF(G232&lt;=50,"P3 Build","P4 Long Term")))))</f>
        <v>P3 Build</v>
      </c>
      <c r="K232" s="2" t="s">
        <v>270</v>
      </c>
      <c r="L232" s="2" t="s">
        <v>18</v>
      </c>
      <c r="M232" s="2"/>
    </row>
    <row r="233" customFormat="false" ht="15" hidden="false" customHeight="false" outlineLevel="0" collapsed="false">
      <c r="A233" s="2" t="n">
        <v>232</v>
      </c>
      <c r="B233" s="2" t="s">
        <v>271</v>
      </c>
      <c r="C233" s="2" t="s">
        <v>14</v>
      </c>
      <c r="D233" s="2" t="s">
        <v>15</v>
      </c>
      <c r="E233" s="2" t="s">
        <v>20</v>
      </c>
      <c r="F233" s="3" t="n">
        <v>40</v>
      </c>
      <c r="G233" s="2"/>
      <c r="H233" s="4" t="n">
        <v>2.32</v>
      </c>
      <c r="I233" s="3" t="str">
        <f aca="false">IF(G233="","",ROUND(F233*(100-G233)/100,0))</f>
        <v/>
      </c>
      <c r="J233" s="2" t="str">
        <f aca="false">IF(G233="","Needs KD",IF(D233&lt;&gt;"Client","Not a buyer",IF(AND(G233&lt;=25,F233&gt;=500),"P1 Quick Win",IF(AND(G233&lt;=35,F233&gt;=200),"P2 High Value",IF(G233&lt;=50,"P3 Build","P4 Long Term")))))</f>
        <v>Needs KD</v>
      </c>
      <c r="K233" s="2" t="s">
        <v>25</v>
      </c>
      <c r="L233" s="2" t="s">
        <v>18</v>
      </c>
      <c r="M233" s="2"/>
    </row>
    <row r="234" customFormat="false" ht="15" hidden="false" customHeight="false" outlineLevel="0" collapsed="false">
      <c r="A234" s="2" t="n">
        <v>233</v>
      </c>
      <c r="B234" s="2" t="s">
        <v>272</v>
      </c>
      <c r="C234" s="2" t="s">
        <v>14</v>
      </c>
      <c r="D234" s="2" t="s">
        <v>15</v>
      </c>
      <c r="E234" s="2" t="s">
        <v>20</v>
      </c>
      <c r="F234" s="3" t="n">
        <v>30</v>
      </c>
      <c r="G234" s="2"/>
      <c r="H234" s="4" t="n">
        <v>0</v>
      </c>
      <c r="I234" s="3" t="str">
        <f aca="false">IF(G234="","",ROUND(F234*(100-G234)/100,0))</f>
        <v/>
      </c>
      <c r="J234" s="2" t="str">
        <f aca="false">IF(G234="","Needs KD",IF(D234&lt;&gt;"Client","Not a buyer",IF(AND(G234&lt;=25,F234&gt;=500),"P1 Quick Win",IF(AND(G234&lt;=35,F234&gt;=200),"P2 High Value",IF(G234&lt;=50,"P3 Build","P4 Long Term")))))</f>
        <v>Needs KD</v>
      </c>
      <c r="K234" s="2" t="s">
        <v>25</v>
      </c>
      <c r="L234" s="2" t="s">
        <v>18</v>
      </c>
      <c r="M234" s="2"/>
    </row>
    <row r="235" customFormat="false" ht="15" hidden="false" customHeight="false" outlineLevel="0" collapsed="false">
      <c r="A235" s="5" t="n">
        <v>234</v>
      </c>
      <c r="B235" s="5" t="s">
        <v>273</v>
      </c>
      <c r="C235" s="5" t="s">
        <v>274</v>
      </c>
      <c r="D235" s="5" t="s">
        <v>275</v>
      </c>
      <c r="E235" s="5" t="s">
        <v>44</v>
      </c>
      <c r="F235" s="6" t="n">
        <v>1900</v>
      </c>
      <c r="G235" s="5" t="n">
        <v>15</v>
      </c>
      <c r="H235" s="7" t="n">
        <v>1.63</v>
      </c>
      <c r="I235" s="6" t="n">
        <f aca="false">IF(G235="","",ROUND(F235*(100-G235)/100,0))</f>
        <v>1615</v>
      </c>
      <c r="J235" s="5" t="str">
        <f aca="false">IF(G235="","Needs KD",IF(D235&lt;&gt;"Client","Not a buyer",IF(AND(G235&lt;=25,F235&gt;=500),"P1 Quick Win",IF(AND(G235&lt;=35,F235&gt;=200),"P2 High Value",IF(G235&lt;=50,"P3 Build","P4 Long Term")))))</f>
        <v>Not a buyer</v>
      </c>
      <c r="K235" s="5" t="s">
        <v>276</v>
      </c>
      <c r="L235" s="5" t="s">
        <v>18</v>
      </c>
      <c r="M235" s="5"/>
    </row>
    <row r="236" customFormat="false" ht="15" hidden="false" customHeight="false" outlineLevel="0" collapsed="false">
      <c r="A236" s="5" t="n">
        <v>235</v>
      </c>
      <c r="B236" s="5" t="s">
        <v>277</v>
      </c>
      <c r="C236" s="5" t="s">
        <v>274</v>
      </c>
      <c r="D236" s="5" t="s">
        <v>275</v>
      </c>
      <c r="E236" s="5" t="s">
        <v>44</v>
      </c>
      <c r="F236" s="6" t="n">
        <v>1600</v>
      </c>
      <c r="G236" s="5" t="n">
        <v>13</v>
      </c>
      <c r="H236" s="7" t="n">
        <v>1.32</v>
      </c>
      <c r="I236" s="6" t="n">
        <f aca="false">IF(G236="","",ROUND(F236*(100-G236)/100,0))</f>
        <v>1392</v>
      </c>
      <c r="J236" s="5" t="str">
        <f aca="false">IF(G236="","Needs KD",IF(D236&lt;&gt;"Client","Not a buyer",IF(AND(G236&lt;=25,F236&gt;=500),"P1 Quick Win",IF(AND(G236&lt;=35,F236&gt;=200),"P2 High Value",IF(G236&lt;=50,"P3 Build","P4 Long Term")))))</f>
        <v>Not a buyer</v>
      </c>
      <c r="K236" s="5" t="s">
        <v>276</v>
      </c>
      <c r="L236" s="5" t="s">
        <v>18</v>
      </c>
      <c r="M236" s="5"/>
    </row>
    <row r="237" customFormat="false" ht="15" hidden="false" customHeight="false" outlineLevel="0" collapsed="false">
      <c r="A237" s="2" t="n">
        <v>236</v>
      </c>
      <c r="B237" s="2" t="s">
        <v>278</v>
      </c>
      <c r="C237" s="2" t="s">
        <v>274</v>
      </c>
      <c r="D237" s="2" t="s">
        <v>15</v>
      </c>
      <c r="E237" s="2" t="s">
        <v>20</v>
      </c>
      <c r="F237" s="3" t="n">
        <v>1300</v>
      </c>
      <c r="G237" s="2" t="n">
        <v>12</v>
      </c>
      <c r="H237" s="4" t="n">
        <v>0.71</v>
      </c>
      <c r="I237" s="3" t="n">
        <f aca="false">IF(G237="","",ROUND(F237*(100-G237)/100,0))</f>
        <v>1144</v>
      </c>
      <c r="J237" s="2" t="str">
        <f aca="false">IF(G237="","Needs KD",IF(D237&lt;&gt;"Client","Not a buyer",IF(AND(G237&lt;=25,F237&gt;=500),"P1 Quick Win",IF(AND(G237&lt;=35,F237&gt;=200),"P2 High Value",IF(G237&lt;=50,"P3 Build","P4 Long Term")))))</f>
        <v>P1 Quick Win</v>
      </c>
      <c r="K237" s="2" t="s">
        <v>279</v>
      </c>
      <c r="L237" s="2" t="s">
        <v>18</v>
      </c>
      <c r="M237" s="2"/>
    </row>
    <row r="238" customFormat="false" ht="15" hidden="false" customHeight="false" outlineLevel="0" collapsed="false">
      <c r="A238" s="2" t="n">
        <v>237</v>
      </c>
      <c r="B238" s="2" t="s">
        <v>280</v>
      </c>
      <c r="C238" s="2" t="s">
        <v>274</v>
      </c>
      <c r="D238" s="2" t="s">
        <v>15</v>
      </c>
      <c r="E238" s="2" t="s">
        <v>44</v>
      </c>
      <c r="F238" s="3" t="n">
        <v>1000</v>
      </c>
      <c r="G238" s="2" t="n">
        <v>15</v>
      </c>
      <c r="H238" s="4" t="n">
        <v>3.46</v>
      </c>
      <c r="I238" s="3" t="n">
        <f aca="false">IF(G238="","",ROUND(F238*(100-G238)/100,0))</f>
        <v>850</v>
      </c>
      <c r="J238" s="2" t="str">
        <f aca="false">IF(G238="","Needs KD",IF(D238&lt;&gt;"Client","Not a buyer",IF(AND(G238&lt;=25,F238&gt;=500),"P1 Quick Win",IF(AND(G238&lt;=35,F238&gt;=200),"P2 High Value",IF(G238&lt;=50,"P3 Build","P4 Long Term")))))</f>
        <v>P1 Quick Win</v>
      </c>
      <c r="K238" s="2" t="s">
        <v>281</v>
      </c>
      <c r="L238" s="2" t="s">
        <v>18</v>
      </c>
      <c r="M238" s="2"/>
    </row>
    <row r="239" customFormat="false" ht="15" hidden="false" customHeight="false" outlineLevel="0" collapsed="false">
      <c r="A239" s="2" t="n">
        <v>238</v>
      </c>
      <c r="B239" s="2" t="s">
        <v>282</v>
      </c>
      <c r="C239" s="2" t="s">
        <v>274</v>
      </c>
      <c r="D239" s="2" t="s">
        <v>15</v>
      </c>
      <c r="E239" s="2" t="s">
        <v>20</v>
      </c>
      <c r="F239" s="3" t="n">
        <v>1000</v>
      </c>
      <c r="G239" s="2" t="n">
        <v>15</v>
      </c>
      <c r="H239" s="4" t="n">
        <v>0.71</v>
      </c>
      <c r="I239" s="3" t="n">
        <f aca="false">IF(G239="","",ROUND(F239*(100-G239)/100,0))</f>
        <v>850</v>
      </c>
      <c r="J239" s="2" t="str">
        <f aca="false">IF(G239="","Needs KD",IF(D239&lt;&gt;"Client","Not a buyer",IF(AND(G239&lt;=25,F239&gt;=500),"P1 Quick Win",IF(AND(G239&lt;=35,F239&gt;=200),"P2 High Value",IF(G239&lt;=50,"P3 Build","P4 Long Term")))))</f>
        <v>P1 Quick Win</v>
      </c>
      <c r="K239" s="2" t="s">
        <v>279</v>
      </c>
      <c r="L239" s="2" t="s">
        <v>18</v>
      </c>
      <c r="M239" s="2"/>
    </row>
    <row r="240" customFormat="false" ht="15" hidden="false" customHeight="false" outlineLevel="0" collapsed="false">
      <c r="A240" s="5" t="n">
        <v>239</v>
      </c>
      <c r="B240" s="5" t="s">
        <v>283</v>
      </c>
      <c r="C240" s="5" t="s">
        <v>274</v>
      </c>
      <c r="D240" s="5" t="s">
        <v>62</v>
      </c>
      <c r="E240" s="5" t="s">
        <v>20</v>
      </c>
      <c r="F240" s="6" t="n">
        <v>1000</v>
      </c>
      <c r="G240" s="5" t="n">
        <v>14</v>
      </c>
      <c r="H240" s="7" t="n">
        <v>1.03</v>
      </c>
      <c r="I240" s="6" t="n">
        <f aca="false">IF(G240="","",ROUND(F240*(100-G240)/100,0))</f>
        <v>860</v>
      </c>
      <c r="J240" s="5" t="str">
        <f aca="false">IF(G240="","Needs KD",IF(D240&lt;&gt;"Client","Not a buyer",IF(AND(G240&lt;=25,F240&gt;=500),"P1 Quick Win",IF(AND(G240&lt;=35,F240&gt;=200),"P2 High Value",IF(G240&lt;=50,"P3 Build","P4 Long Term")))))</f>
        <v>Not a buyer</v>
      </c>
      <c r="K240" s="5" t="s">
        <v>284</v>
      </c>
      <c r="L240" s="5" t="s">
        <v>18</v>
      </c>
      <c r="M240" s="5"/>
    </row>
    <row r="241" customFormat="false" ht="15" hidden="false" customHeight="false" outlineLevel="0" collapsed="false">
      <c r="A241" s="5" t="n">
        <v>240</v>
      </c>
      <c r="B241" s="5" t="s">
        <v>285</v>
      </c>
      <c r="C241" s="5" t="s">
        <v>274</v>
      </c>
      <c r="D241" s="5" t="s">
        <v>275</v>
      </c>
      <c r="E241" s="5" t="s">
        <v>44</v>
      </c>
      <c r="F241" s="6" t="n">
        <v>1000</v>
      </c>
      <c r="G241" s="5" t="n">
        <v>15</v>
      </c>
      <c r="H241" s="7" t="n">
        <v>1.17</v>
      </c>
      <c r="I241" s="6" t="n">
        <f aca="false">IF(G241="","",ROUND(F241*(100-G241)/100,0))</f>
        <v>850</v>
      </c>
      <c r="J241" s="5" t="str">
        <f aca="false">IF(G241="","Needs KD",IF(D241&lt;&gt;"Client","Not a buyer",IF(AND(G241&lt;=25,F241&gt;=500),"P1 Quick Win",IF(AND(G241&lt;=35,F241&gt;=200),"P2 High Value",IF(G241&lt;=50,"P3 Build","P4 Long Term")))))</f>
        <v>Not a buyer</v>
      </c>
      <c r="K241" s="5" t="s">
        <v>276</v>
      </c>
      <c r="L241" s="5" t="s">
        <v>18</v>
      </c>
      <c r="M241" s="5"/>
    </row>
    <row r="242" customFormat="false" ht="15" hidden="false" customHeight="false" outlineLevel="0" collapsed="false">
      <c r="A242" s="5" t="n">
        <v>241</v>
      </c>
      <c r="B242" s="5" t="s">
        <v>286</v>
      </c>
      <c r="C242" s="5" t="s">
        <v>274</v>
      </c>
      <c r="D242" s="5" t="s">
        <v>275</v>
      </c>
      <c r="E242" s="5" t="s">
        <v>44</v>
      </c>
      <c r="F242" s="6" t="n">
        <v>880</v>
      </c>
      <c r="G242" s="5" t="n">
        <v>15</v>
      </c>
      <c r="H242" s="7" t="n">
        <v>1.32</v>
      </c>
      <c r="I242" s="6" t="n">
        <f aca="false">IF(G242="","",ROUND(F242*(100-G242)/100,0))</f>
        <v>748</v>
      </c>
      <c r="J242" s="5" t="str">
        <f aca="false">IF(G242="","Needs KD",IF(D242&lt;&gt;"Client","Not a buyer",IF(AND(G242&lt;=25,F242&gt;=500),"P1 Quick Win",IF(AND(G242&lt;=35,F242&gt;=200),"P2 High Value",IF(G242&lt;=50,"P3 Build","P4 Long Term")))))</f>
        <v>Not a buyer</v>
      </c>
      <c r="K242" s="5" t="s">
        <v>276</v>
      </c>
      <c r="L242" s="5" t="s">
        <v>18</v>
      </c>
      <c r="M242" s="5"/>
    </row>
    <row r="243" customFormat="false" ht="15" hidden="false" customHeight="false" outlineLevel="0" collapsed="false">
      <c r="A243" s="5" t="n">
        <v>242</v>
      </c>
      <c r="B243" s="5" t="s">
        <v>287</v>
      </c>
      <c r="C243" s="5" t="s">
        <v>274</v>
      </c>
      <c r="D243" s="5" t="s">
        <v>275</v>
      </c>
      <c r="E243" s="5" t="s">
        <v>44</v>
      </c>
      <c r="F243" s="6" t="n">
        <v>880</v>
      </c>
      <c r="G243" s="5" t="n">
        <v>12</v>
      </c>
      <c r="H243" s="7" t="n">
        <v>1.17</v>
      </c>
      <c r="I243" s="6" t="n">
        <f aca="false">IF(G243="","",ROUND(F243*(100-G243)/100,0))</f>
        <v>774</v>
      </c>
      <c r="J243" s="5" t="str">
        <f aca="false">IF(G243="","Needs KD",IF(D243&lt;&gt;"Client","Not a buyer",IF(AND(G243&lt;=25,F243&gt;=500),"P1 Quick Win",IF(AND(G243&lt;=35,F243&gt;=200),"P2 High Value",IF(G243&lt;=50,"P3 Build","P4 Long Term")))))</f>
        <v>Not a buyer</v>
      </c>
      <c r="K243" s="5" t="s">
        <v>276</v>
      </c>
      <c r="L243" s="5" t="s">
        <v>18</v>
      </c>
      <c r="M243" s="5"/>
    </row>
    <row r="244" customFormat="false" ht="15" hidden="false" customHeight="false" outlineLevel="0" collapsed="false">
      <c r="A244" s="2" t="n">
        <v>243</v>
      </c>
      <c r="B244" s="2" t="s">
        <v>288</v>
      </c>
      <c r="C244" s="2" t="s">
        <v>274</v>
      </c>
      <c r="D244" s="2" t="s">
        <v>15</v>
      </c>
      <c r="E244" s="2" t="s">
        <v>44</v>
      </c>
      <c r="F244" s="3" t="n">
        <v>590</v>
      </c>
      <c r="G244" s="2" t="n">
        <v>10</v>
      </c>
      <c r="H244" s="4" t="n">
        <v>1.03</v>
      </c>
      <c r="I244" s="3" t="n">
        <f aca="false">IF(G244="","",ROUND(F244*(100-G244)/100,0))</f>
        <v>531</v>
      </c>
      <c r="J244" s="2" t="str">
        <f aca="false">IF(G244="","Needs KD",IF(D244&lt;&gt;"Client","Not a buyer",IF(AND(G244&lt;=25,F244&gt;=500),"P1 Quick Win",IF(AND(G244&lt;=35,F244&gt;=200),"P2 High Value",IF(G244&lt;=50,"P3 Build","P4 Long Term")))))</f>
        <v>P1 Quick Win</v>
      </c>
      <c r="K244" s="2" t="s">
        <v>281</v>
      </c>
      <c r="L244" s="2" t="s">
        <v>18</v>
      </c>
      <c r="M244" s="2"/>
    </row>
    <row r="245" customFormat="false" ht="15" hidden="false" customHeight="false" outlineLevel="0" collapsed="false">
      <c r="A245" s="5" t="n">
        <v>244</v>
      </c>
      <c r="B245" s="5" t="s">
        <v>289</v>
      </c>
      <c r="C245" s="5" t="s">
        <v>274</v>
      </c>
      <c r="D245" s="5" t="s">
        <v>275</v>
      </c>
      <c r="E245" s="5" t="s">
        <v>44</v>
      </c>
      <c r="F245" s="6" t="n">
        <v>590</v>
      </c>
      <c r="G245" s="5" t="n">
        <v>14</v>
      </c>
      <c r="H245" s="7" t="n">
        <v>0.76</v>
      </c>
      <c r="I245" s="6" t="n">
        <f aca="false">IF(G245="","",ROUND(F245*(100-G245)/100,0))</f>
        <v>507</v>
      </c>
      <c r="J245" s="5" t="str">
        <f aca="false">IF(G245="","Needs KD",IF(D245&lt;&gt;"Client","Not a buyer",IF(AND(G245&lt;=25,F245&gt;=500),"P1 Quick Win",IF(AND(G245&lt;=35,F245&gt;=200),"P2 High Value",IF(G245&lt;=50,"P3 Build","P4 Long Term")))))</f>
        <v>Not a buyer</v>
      </c>
      <c r="K245" s="5" t="s">
        <v>276</v>
      </c>
      <c r="L245" s="5" t="s">
        <v>18</v>
      </c>
      <c r="M245" s="5"/>
    </row>
    <row r="246" customFormat="false" ht="15" hidden="false" customHeight="false" outlineLevel="0" collapsed="false">
      <c r="A246" s="5" t="n">
        <v>245</v>
      </c>
      <c r="B246" s="5" t="s">
        <v>290</v>
      </c>
      <c r="C246" s="5" t="s">
        <v>274</v>
      </c>
      <c r="D246" s="5" t="s">
        <v>62</v>
      </c>
      <c r="E246" s="5" t="s">
        <v>34</v>
      </c>
      <c r="F246" s="6" t="n">
        <v>590</v>
      </c>
      <c r="G246" s="5" t="n">
        <v>14</v>
      </c>
      <c r="H246" s="7" t="n">
        <v>0.84</v>
      </c>
      <c r="I246" s="6" t="n">
        <f aca="false">IF(G246="","",ROUND(F246*(100-G246)/100,0))</f>
        <v>507</v>
      </c>
      <c r="J246" s="5" t="str">
        <f aca="false">IF(G246="","Needs KD",IF(D246&lt;&gt;"Client","Not a buyer",IF(AND(G246&lt;=25,F246&gt;=500),"P1 Quick Win",IF(AND(G246&lt;=35,F246&gt;=200),"P2 High Value",IF(G246&lt;=50,"P3 Build","P4 Long Term")))))</f>
        <v>Not a buyer</v>
      </c>
      <c r="K246" s="5" t="s">
        <v>291</v>
      </c>
      <c r="L246" s="5" t="s">
        <v>18</v>
      </c>
      <c r="M246" s="5"/>
    </row>
    <row r="247" customFormat="false" ht="15" hidden="false" customHeight="false" outlineLevel="0" collapsed="false">
      <c r="A247" s="5" t="n">
        <v>246</v>
      </c>
      <c r="B247" s="5" t="s">
        <v>292</v>
      </c>
      <c r="C247" s="5" t="s">
        <v>274</v>
      </c>
      <c r="D247" s="5" t="s">
        <v>62</v>
      </c>
      <c r="E247" s="5" t="s">
        <v>34</v>
      </c>
      <c r="F247" s="6" t="n">
        <v>590</v>
      </c>
      <c r="G247" s="5" t="n">
        <v>11</v>
      </c>
      <c r="H247" s="7" t="n">
        <v>1.17</v>
      </c>
      <c r="I247" s="6" t="n">
        <f aca="false">IF(G247="","",ROUND(F247*(100-G247)/100,0))</f>
        <v>525</v>
      </c>
      <c r="J247" s="5" t="str">
        <f aca="false">IF(G247="","Needs KD",IF(D247&lt;&gt;"Client","Not a buyer",IF(AND(G247&lt;=25,F247&gt;=500),"P1 Quick Win",IF(AND(G247&lt;=35,F247&gt;=200),"P2 High Value",IF(G247&lt;=50,"P3 Build","P4 Long Term")))))</f>
        <v>Not a buyer</v>
      </c>
      <c r="K247" s="5" t="s">
        <v>284</v>
      </c>
      <c r="L247" s="5" t="s">
        <v>18</v>
      </c>
      <c r="M247" s="5"/>
    </row>
    <row r="248" customFormat="false" ht="15" hidden="false" customHeight="false" outlineLevel="0" collapsed="false">
      <c r="A248" s="5" t="n">
        <v>247</v>
      </c>
      <c r="B248" s="5" t="s">
        <v>293</v>
      </c>
      <c r="C248" s="5" t="s">
        <v>274</v>
      </c>
      <c r="D248" s="5" t="s">
        <v>62</v>
      </c>
      <c r="E248" s="5" t="s">
        <v>44</v>
      </c>
      <c r="F248" s="6" t="n">
        <v>590</v>
      </c>
      <c r="G248" s="5" t="n">
        <v>12</v>
      </c>
      <c r="H248" s="7" t="n">
        <v>2.07</v>
      </c>
      <c r="I248" s="6" t="n">
        <f aca="false">IF(G248="","",ROUND(F248*(100-G248)/100,0))</f>
        <v>519</v>
      </c>
      <c r="J248" s="5" t="str">
        <f aca="false">IF(G248="","Needs KD",IF(D248&lt;&gt;"Client","Not a buyer",IF(AND(G248&lt;=25,F248&gt;=500),"P1 Quick Win",IF(AND(G248&lt;=35,F248&gt;=200),"P2 High Value",IF(G248&lt;=50,"P3 Build","P4 Long Term")))))</f>
        <v>Not a buyer</v>
      </c>
      <c r="K248" s="5" t="s">
        <v>284</v>
      </c>
      <c r="L248" s="5" t="s">
        <v>18</v>
      </c>
      <c r="M248" s="5"/>
    </row>
    <row r="249" customFormat="false" ht="15" hidden="false" customHeight="false" outlineLevel="0" collapsed="false">
      <c r="A249" s="5" t="n">
        <v>248</v>
      </c>
      <c r="B249" s="5" t="s">
        <v>294</v>
      </c>
      <c r="C249" s="5" t="s">
        <v>274</v>
      </c>
      <c r="D249" s="5" t="s">
        <v>275</v>
      </c>
      <c r="E249" s="5" t="s">
        <v>44</v>
      </c>
      <c r="F249" s="6" t="n">
        <v>590</v>
      </c>
      <c r="G249" s="5" t="n">
        <v>14</v>
      </c>
      <c r="H249" s="7" t="n">
        <v>0.76</v>
      </c>
      <c r="I249" s="6" t="n">
        <f aca="false">IF(G249="","",ROUND(F249*(100-G249)/100,0))</f>
        <v>507</v>
      </c>
      <c r="J249" s="5" t="str">
        <f aca="false">IF(G249="","Needs KD",IF(D249&lt;&gt;"Client","Not a buyer",IF(AND(G249&lt;=25,F249&gt;=500),"P1 Quick Win",IF(AND(G249&lt;=35,F249&gt;=200),"P2 High Value",IF(G249&lt;=50,"P3 Build","P4 Long Term")))))</f>
        <v>Not a buyer</v>
      </c>
      <c r="K249" s="5" t="s">
        <v>276</v>
      </c>
      <c r="L249" s="5" t="s">
        <v>18</v>
      </c>
      <c r="M249" s="5"/>
    </row>
    <row r="250" customFormat="false" ht="15" hidden="false" customHeight="false" outlineLevel="0" collapsed="false">
      <c r="A250" s="5" t="n">
        <v>249</v>
      </c>
      <c r="B250" s="5" t="s">
        <v>295</v>
      </c>
      <c r="C250" s="5" t="s">
        <v>274</v>
      </c>
      <c r="D250" s="5" t="s">
        <v>275</v>
      </c>
      <c r="E250" s="5" t="s">
        <v>44</v>
      </c>
      <c r="F250" s="6" t="n">
        <v>480</v>
      </c>
      <c r="G250" s="5" t="n">
        <v>15</v>
      </c>
      <c r="H250" s="7" t="n">
        <v>1.63</v>
      </c>
      <c r="I250" s="6" t="n">
        <f aca="false">IF(G250="","",ROUND(F250*(100-G250)/100,0))</f>
        <v>408</v>
      </c>
      <c r="J250" s="5" t="str">
        <f aca="false">IF(G250="","Needs KD",IF(D250&lt;&gt;"Client","Not a buyer",IF(AND(G250&lt;=25,F250&gt;=500),"P1 Quick Win",IF(AND(G250&lt;=35,F250&gt;=200),"P2 High Value",IF(G250&lt;=50,"P3 Build","P4 Long Term")))))</f>
        <v>Not a buyer</v>
      </c>
      <c r="K250" s="5" t="s">
        <v>276</v>
      </c>
      <c r="L250" s="5" t="s">
        <v>18</v>
      </c>
      <c r="M250" s="5"/>
    </row>
    <row r="251" customFormat="false" ht="15" hidden="false" customHeight="false" outlineLevel="0" collapsed="false">
      <c r="A251" s="5" t="n">
        <v>250</v>
      </c>
      <c r="B251" s="5" t="s">
        <v>296</v>
      </c>
      <c r="C251" s="5" t="s">
        <v>274</v>
      </c>
      <c r="D251" s="5" t="s">
        <v>297</v>
      </c>
      <c r="E251" s="5" t="s">
        <v>20</v>
      </c>
      <c r="F251" s="6" t="n">
        <v>480</v>
      </c>
      <c r="G251" s="5" t="n">
        <v>12</v>
      </c>
      <c r="H251" s="7" t="n">
        <v>0.92</v>
      </c>
      <c r="I251" s="6" t="n">
        <f aca="false">IF(G251="","",ROUND(F251*(100-G251)/100,0))</f>
        <v>422</v>
      </c>
      <c r="J251" s="5" t="str">
        <f aca="false">IF(G251="","Needs KD",IF(D251&lt;&gt;"Client","Not a buyer",IF(AND(G251&lt;=25,F251&gt;=500),"P1 Quick Win",IF(AND(G251&lt;=35,F251&gt;=200),"P2 High Value",IF(G251&lt;=50,"P3 Build","P4 Long Term")))))</f>
        <v>Not a buyer</v>
      </c>
      <c r="K251" s="5" t="s">
        <v>298</v>
      </c>
      <c r="L251" s="5" t="s">
        <v>18</v>
      </c>
      <c r="M251" s="5"/>
    </row>
    <row r="252" customFormat="false" ht="15" hidden="false" customHeight="false" outlineLevel="0" collapsed="false">
      <c r="A252" s="5" t="n">
        <v>251</v>
      </c>
      <c r="B252" s="5" t="s">
        <v>299</v>
      </c>
      <c r="C252" s="5" t="s">
        <v>274</v>
      </c>
      <c r="D252" s="5" t="s">
        <v>297</v>
      </c>
      <c r="E252" s="5" t="s">
        <v>44</v>
      </c>
      <c r="F252" s="6" t="n">
        <v>480</v>
      </c>
      <c r="G252" s="5" t="n">
        <v>12</v>
      </c>
      <c r="H252" s="7" t="n">
        <v>8.7</v>
      </c>
      <c r="I252" s="6" t="n">
        <f aca="false">IF(G252="","",ROUND(F252*(100-G252)/100,0))</f>
        <v>422</v>
      </c>
      <c r="J252" s="5" t="str">
        <f aca="false">IF(G252="","Needs KD",IF(D252&lt;&gt;"Client","Not a buyer",IF(AND(G252&lt;=25,F252&gt;=500),"P1 Quick Win",IF(AND(G252&lt;=35,F252&gt;=200),"P2 High Value",IF(G252&lt;=50,"P3 Build","P4 Long Term")))))</f>
        <v>Not a buyer</v>
      </c>
      <c r="K252" s="5" t="s">
        <v>298</v>
      </c>
      <c r="L252" s="5" t="s">
        <v>18</v>
      </c>
      <c r="M252" s="5"/>
    </row>
    <row r="253" customFormat="false" ht="15" hidden="false" customHeight="false" outlineLevel="0" collapsed="false">
      <c r="A253" s="2" t="n">
        <v>252</v>
      </c>
      <c r="B253" s="2" t="s">
        <v>300</v>
      </c>
      <c r="C253" s="2" t="s">
        <v>274</v>
      </c>
      <c r="D253" s="2" t="s">
        <v>15</v>
      </c>
      <c r="E253" s="2" t="s">
        <v>44</v>
      </c>
      <c r="F253" s="3" t="n">
        <v>390</v>
      </c>
      <c r="G253" s="2" t="n">
        <v>11</v>
      </c>
      <c r="H253" s="4" t="n">
        <v>0.93</v>
      </c>
      <c r="I253" s="3" t="n">
        <f aca="false">IF(G253="","",ROUND(F253*(100-G253)/100,0))</f>
        <v>347</v>
      </c>
      <c r="J253" s="2" t="str">
        <f aca="false">IF(G253="","Needs KD",IF(D253&lt;&gt;"Client","Not a buyer",IF(AND(G253&lt;=25,F253&gt;=500),"P1 Quick Win",IF(AND(G253&lt;=35,F253&gt;=200),"P2 High Value",IF(G253&lt;=50,"P3 Build","P4 Long Term")))))</f>
        <v>P2 High Value</v>
      </c>
      <c r="K253" s="2" t="s">
        <v>281</v>
      </c>
      <c r="L253" s="2" t="s">
        <v>18</v>
      </c>
      <c r="M253" s="2"/>
    </row>
    <row r="254" customFormat="false" ht="15" hidden="false" customHeight="false" outlineLevel="0" collapsed="false">
      <c r="A254" s="2" t="n">
        <v>253</v>
      </c>
      <c r="B254" s="2" t="s">
        <v>301</v>
      </c>
      <c r="C254" s="2" t="s">
        <v>274</v>
      </c>
      <c r="D254" s="2" t="s">
        <v>15</v>
      </c>
      <c r="E254" s="2" t="s">
        <v>20</v>
      </c>
      <c r="F254" s="3" t="n">
        <v>390</v>
      </c>
      <c r="G254" s="2" t="n">
        <v>12</v>
      </c>
      <c r="H254" s="4" t="n">
        <v>0.59</v>
      </c>
      <c r="I254" s="3" t="n">
        <f aca="false">IF(G254="","",ROUND(F254*(100-G254)/100,0))</f>
        <v>343</v>
      </c>
      <c r="J254" s="2" t="str">
        <f aca="false">IF(G254="","Needs KD",IF(D254&lt;&gt;"Client","Not a buyer",IF(AND(G254&lt;=25,F254&gt;=500),"P1 Quick Win",IF(AND(G254&lt;=35,F254&gt;=200),"P2 High Value",IF(G254&lt;=50,"P3 Build","P4 Long Term")))))</f>
        <v>P2 High Value</v>
      </c>
      <c r="K254" s="2" t="s">
        <v>279</v>
      </c>
      <c r="L254" s="2" t="s">
        <v>18</v>
      </c>
      <c r="M254" s="2"/>
    </row>
    <row r="255" customFormat="false" ht="15" hidden="false" customHeight="false" outlineLevel="0" collapsed="false">
      <c r="A255" s="2" t="n">
        <v>254</v>
      </c>
      <c r="B255" s="2" t="s">
        <v>302</v>
      </c>
      <c r="C255" s="2" t="s">
        <v>274</v>
      </c>
      <c r="D255" s="2" t="s">
        <v>15</v>
      </c>
      <c r="E255" s="2" t="s">
        <v>44</v>
      </c>
      <c r="F255" s="3" t="n">
        <v>390</v>
      </c>
      <c r="G255" s="2" t="n">
        <v>10</v>
      </c>
      <c r="H255" s="4" t="n">
        <v>1.34</v>
      </c>
      <c r="I255" s="3" t="n">
        <f aca="false">IF(G255="","",ROUND(F255*(100-G255)/100,0))</f>
        <v>351</v>
      </c>
      <c r="J255" s="2" t="str">
        <f aca="false">IF(G255="","Needs KD",IF(D255&lt;&gt;"Client","Not a buyer",IF(AND(G255&lt;=25,F255&gt;=500),"P1 Quick Win",IF(AND(G255&lt;=35,F255&gt;=200),"P2 High Value",IF(G255&lt;=50,"P3 Build","P4 Long Term")))))</f>
        <v>P2 High Value</v>
      </c>
      <c r="K255" s="2" t="s">
        <v>303</v>
      </c>
      <c r="L255" s="2" t="s">
        <v>18</v>
      </c>
      <c r="M255" s="2"/>
    </row>
    <row r="256" customFormat="false" ht="15" hidden="false" customHeight="false" outlineLevel="0" collapsed="false">
      <c r="A256" s="5" t="n">
        <v>255</v>
      </c>
      <c r="B256" s="5" t="s">
        <v>304</v>
      </c>
      <c r="C256" s="5" t="s">
        <v>274</v>
      </c>
      <c r="D256" s="5" t="s">
        <v>275</v>
      </c>
      <c r="E256" s="5" t="s">
        <v>44</v>
      </c>
      <c r="F256" s="6" t="n">
        <v>390</v>
      </c>
      <c r="G256" s="5" t="n">
        <v>14</v>
      </c>
      <c r="H256" s="7" t="n">
        <v>0.48</v>
      </c>
      <c r="I256" s="6" t="n">
        <f aca="false">IF(G256="","",ROUND(F256*(100-G256)/100,0))</f>
        <v>335</v>
      </c>
      <c r="J256" s="5" t="str">
        <f aca="false">IF(G256="","Needs KD",IF(D256&lt;&gt;"Client","Not a buyer",IF(AND(G256&lt;=25,F256&gt;=500),"P1 Quick Win",IF(AND(G256&lt;=35,F256&gt;=200),"P2 High Value",IF(G256&lt;=50,"P3 Build","P4 Long Term")))))</f>
        <v>Not a buyer</v>
      </c>
      <c r="K256" s="5" t="s">
        <v>276</v>
      </c>
      <c r="L256" s="5" t="s">
        <v>18</v>
      </c>
      <c r="M256" s="5"/>
    </row>
    <row r="257" customFormat="false" ht="15" hidden="false" customHeight="false" outlineLevel="0" collapsed="false">
      <c r="A257" s="2" t="n">
        <v>256</v>
      </c>
      <c r="B257" s="2" t="s">
        <v>305</v>
      </c>
      <c r="C257" s="2" t="s">
        <v>274</v>
      </c>
      <c r="D257" s="2" t="s">
        <v>15</v>
      </c>
      <c r="E257" s="2" t="s">
        <v>44</v>
      </c>
      <c r="F257" s="3" t="n">
        <v>320</v>
      </c>
      <c r="G257" s="2" t="n">
        <v>15</v>
      </c>
      <c r="H257" s="4" t="n">
        <v>1.29</v>
      </c>
      <c r="I257" s="3" t="n">
        <f aca="false">IF(G257="","",ROUND(F257*(100-G257)/100,0))</f>
        <v>272</v>
      </c>
      <c r="J257" s="2" t="str">
        <f aca="false">IF(G257="","Needs KD",IF(D257&lt;&gt;"Client","Not a buyer",IF(AND(G257&lt;=25,F257&gt;=500),"P1 Quick Win",IF(AND(G257&lt;=35,F257&gt;=200),"P2 High Value",IF(G257&lt;=50,"P3 Build","P4 Long Term")))))</f>
        <v>P2 High Value</v>
      </c>
      <c r="K257" s="2" t="s">
        <v>281</v>
      </c>
      <c r="L257" s="2" t="s">
        <v>18</v>
      </c>
      <c r="M257" s="2"/>
    </row>
    <row r="258" customFormat="false" ht="15" hidden="false" customHeight="false" outlineLevel="0" collapsed="false">
      <c r="A258" s="2" t="n">
        <v>257</v>
      </c>
      <c r="B258" s="2" t="s">
        <v>306</v>
      </c>
      <c r="C258" s="2" t="s">
        <v>274</v>
      </c>
      <c r="D258" s="2" t="s">
        <v>15</v>
      </c>
      <c r="E258" s="2" t="s">
        <v>44</v>
      </c>
      <c r="F258" s="3" t="n">
        <v>320</v>
      </c>
      <c r="G258" s="2" t="n">
        <v>15</v>
      </c>
      <c r="H258" s="4" t="n">
        <v>0.99</v>
      </c>
      <c r="I258" s="3" t="n">
        <f aca="false">IF(G258="","",ROUND(F258*(100-G258)/100,0))</f>
        <v>272</v>
      </c>
      <c r="J258" s="2" t="str">
        <f aca="false">IF(G258="","Needs KD",IF(D258&lt;&gt;"Client","Not a buyer",IF(AND(G258&lt;=25,F258&gt;=500),"P1 Quick Win",IF(AND(G258&lt;=35,F258&gt;=200),"P2 High Value",IF(G258&lt;=50,"P3 Build","P4 Long Term")))))</f>
        <v>P2 High Value</v>
      </c>
      <c r="K258" s="2" t="s">
        <v>281</v>
      </c>
      <c r="L258" s="2" t="s">
        <v>18</v>
      </c>
      <c r="M258" s="2"/>
    </row>
    <row r="259" customFormat="false" ht="15" hidden="false" customHeight="false" outlineLevel="0" collapsed="false">
      <c r="A259" s="2" t="n">
        <v>258</v>
      </c>
      <c r="B259" s="2" t="s">
        <v>307</v>
      </c>
      <c r="C259" s="2" t="s">
        <v>274</v>
      </c>
      <c r="D259" s="2" t="s">
        <v>15</v>
      </c>
      <c r="E259" s="2" t="s">
        <v>44</v>
      </c>
      <c r="F259" s="3" t="n">
        <v>320</v>
      </c>
      <c r="G259" s="2" t="n">
        <v>13</v>
      </c>
      <c r="H259" s="4" t="n">
        <v>0.99</v>
      </c>
      <c r="I259" s="3" t="n">
        <f aca="false">IF(G259="","",ROUND(F259*(100-G259)/100,0))</f>
        <v>278</v>
      </c>
      <c r="J259" s="2" t="str">
        <f aca="false">IF(G259="","Needs KD",IF(D259&lt;&gt;"Client","Not a buyer",IF(AND(G259&lt;=25,F259&gt;=500),"P1 Quick Win",IF(AND(G259&lt;=35,F259&gt;=200),"P2 High Value",IF(G259&lt;=50,"P3 Build","P4 Long Term")))))</f>
        <v>P2 High Value</v>
      </c>
      <c r="K259" s="2" t="s">
        <v>281</v>
      </c>
      <c r="L259" s="2" t="s">
        <v>18</v>
      </c>
      <c r="M259" s="2"/>
    </row>
    <row r="260" customFormat="false" ht="15" hidden="false" customHeight="false" outlineLevel="0" collapsed="false">
      <c r="A260" s="2" t="n">
        <v>259</v>
      </c>
      <c r="B260" s="2" t="s">
        <v>308</v>
      </c>
      <c r="C260" s="2" t="s">
        <v>274</v>
      </c>
      <c r="D260" s="2" t="s">
        <v>15</v>
      </c>
      <c r="E260" s="2" t="s">
        <v>44</v>
      </c>
      <c r="F260" s="3" t="n">
        <v>320</v>
      </c>
      <c r="G260" s="2" t="n">
        <v>11</v>
      </c>
      <c r="H260" s="4" t="n">
        <v>1.14</v>
      </c>
      <c r="I260" s="3" t="n">
        <f aca="false">IF(G260="","",ROUND(F260*(100-G260)/100,0))</f>
        <v>285</v>
      </c>
      <c r="J260" s="2" t="str">
        <f aca="false">IF(G260="","Needs KD",IF(D260&lt;&gt;"Client","Not a buyer",IF(AND(G260&lt;=25,F260&gt;=500),"P1 Quick Win",IF(AND(G260&lt;=35,F260&gt;=200),"P2 High Value",IF(G260&lt;=50,"P3 Build","P4 Long Term")))))</f>
        <v>P2 High Value</v>
      </c>
      <c r="K260" s="2" t="s">
        <v>281</v>
      </c>
      <c r="L260" s="2" t="s">
        <v>18</v>
      </c>
      <c r="M260" s="2"/>
    </row>
    <row r="261" customFormat="false" ht="15" hidden="false" customHeight="false" outlineLevel="0" collapsed="false">
      <c r="A261" s="2" t="n">
        <v>260</v>
      </c>
      <c r="B261" s="2" t="s">
        <v>309</v>
      </c>
      <c r="C261" s="2" t="s">
        <v>274</v>
      </c>
      <c r="D261" s="2" t="s">
        <v>15</v>
      </c>
      <c r="E261" s="2" t="s">
        <v>44</v>
      </c>
      <c r="F261" s="3" t="n">
        <v>320</v>
      </c>
      <c r="G261" s="2" t="n">
        <v>15</v>
      </c>
      <c r="H261" s="4" t="n">
        <v>1.02</v>
      </c>
      <c r="I261" s="3" t="n">
        <f aca="false">IF(G261="","",ROUND(F261*(100-G261)/100,0))</f>
        <v>272</v>
      </c>
      <c r="J261" s="2" t="str">
        <f aca="false">IF(G261="","Needs KD",IF(D261&lt;&gt;"Client","Not a buyer",IF(AND(G261&lt;=25,F261&gt;=500),"P1 Quick Win",IF(AND(G261&lt;=35,F261&gt;=200),"P2 High Value",IF(G261&lt;=50,"P3 Build","P4 Long Term")))))</f>
        <v>P2 High Value</v>
      </c>
      <c r="K261" s="2" t="s">
        <v>281</v>
      </c>
      <c r="L261" s="2" t="s">
        <v>18</v>
      </c>
      <c r="M261" s="2"/>
    </row>
    <row r="262" customFormat="false" ht="15" hidden="false" customHeight="false" outlineLevel="0" collapsed="false">
      <c r="A262" s="5" t="n">
        <v>261</v>
      </c>
      <c r="B262" s="5" t="s">
        <v>310</v>
      </c>
      <c r="C262" s="5" t="s">
        <v>274</v>
      </c>
      <c r="D262" s="5" t="s">
        <v>275</v>
      </c>
      <c r="E262" s="5" t="s">
        <v>44</v>
      </c>
      <c r="F262" s="6" t="n">
        <v>320</v>
      </c>
      <c r="G262" s="5" t="n">
        <v>15</v>
      </c>
      <c r="H262" s="7" t="n">
        <v>1.84</v>
      </c>
      <c r="I262" s="6" t="n">
        <f aca="false">IF(G262="","",ROUND(F262*(100-G262)/100,0))</f>
        <v>272</v>
      </c>
      <c r="J262" s="5" t="str">
        <f aca="false">IF(G262="","Needs KD",IF(D262&lt;&gt;"Client","Not a buyer",IF(AND(G262&lt;=25,F262&gt;=500),"P1 Quick Win",IF(AND(G262&lt;=35,F262&gt;=200),"P2 High Value",IF(G262&lt;=50,"P3 Build","P4 Long Term")))))</f>
        <v>Not a buyer</v>
      </c>
      <c r="K262" s="5" t="s">
        <v>276</v>
      </c>
      <c r="L262" s="5" t="s">
        <v>18</v>
      </c>
      <c r="M262" s="5"/>
    </row>
    <row r="263" customFormat="false" ht="15" hidden="false" customHeight="false" outlineLevel="0" collapsed="false">
      <c r="A263" s="5" t="n">
        <v>262</v>
      </c>
      <c r="B263" s="5" t="s">
        <v>311</v>
      </c>
      <c r="C263" s="5" t="s">
        <v>274</v>
      </c>
      <c r="D263" s="5" t="s">
        <v>275</v>
      </c>
      <c r="E263" s="5" t="s">
        <v>44</v>
      </c>
      <c r="F263" s="6" t="n">
        <v>320</v>
      </c>
      <c r="G263" s="5" t="n">
        <v>15</v>
      </c>
      <c r="H263" s="7" t="n">
        <v>0.76</v>
      </c>
      <c r="I263" s="6" t="n">
        <f aca="false">IF(G263="","",ROUND(F263*(100-G263)/100,0))</f>
        <v>272</v>
      </c>
      <c r="J263" s="5" t="str">
        <f aca="false">IF(G263="","Needs KD",IF(D263&lt;&gt;"Client","Not a buyer",IF(AND(G263&lt;=25,F263&gt;=500),"P1 Quick Win",IF(AND(G263&lt;=35,F263&gt;=200),"P2 High Value",IF(G263&lt;=50,"P3 Build","P4 Long Term")))))</f>
        <v>Not a buyer</v>
      </c>
      <c r="K263" s="5" t="s">
        <v>276</v>
      </c>
      <c r="L263" s="5" t="s">
        <v>18</v>
      </c>
      <c r="M263" s="5"/>
    </row>
    <row r="264" customFormat="false" ht="15" hidden="false" customHeight="false" outlineLevel="0" collapsed="false">
      <c r="A264" s="5" t="n">
        <v>263</v>
      </c>
      <c r="B264" s="5" t="s">
        <v>312</v>
      </c>
      <c r="C264" s="5" t="s">
        <v>274</v>
      </c>
      <c r="D264" s="5" t="s">
        <v>275</v>
      </c>
      <c r="E264" s="5" t="s">
        <v>44</v>
      </c>
      <c r="F264" s="6" t="n">
        <v>320</v>
      </c>
      <c r="G264" s="5" t="n">
        <v>15</v>
      </c>
      <c r="H264" s="7" t="n">
        <v>0.73</v>
      </c>
      <c r="I264" s="6" t="n">
        <f aca="false">IF(G264="","",ROUND(F264*(100-G264)/100,0))</f>
        <v>272</v>
      </c>
      <c r="J264" s="5" t="str">
        <f aca="false">IF(G264="","Needs KD",IF(D264&lt;&gt;"Client","Not a buyer",IF(AND(G264&lt;=25,F264&gt;=500),"P1 Quick Win",IF(AND(G264&lt;=35,F264&gt;=200),"P2 High Value",IF(G264&lt;=50,"P3 Build","P4 Long Term")))))</f>
        <v>Not a buyer</v>
      </c>
      <c r="K264" s="5" t="s">
        <v>276</v>
      </c>
      <c r="L264" s="5" t="s">
        <v>18</v>
      </c>
      <c r="M264" s="5"/>
    </row>
    <row r="265" customFormat="false" ht="15" hidden="false" customHeight="false" outlineLevel="0" collapsed="false">
      <c r="A265" s="5" t="n">
        <v>264</v>
      </c>
      <c r="B265" s="5" t="s">
        <v>313</v>
      </c>
      <c r="C265" s="5" t="s">
        <v>274</v>
      </c>
      <c r="D265" s="5" t="s">
        <v>275</v>
      </c>
      <c r="E265" s="5" t="s">
        <v>44</v>
      </c>
      <c r="F265" s="6" t="n">
        <v>320</v>
      </c>
      <c r="G265" s="5" t="n">
        <v>13</v>
      </c>
      <c r="H265" s="7" t="n">
        <v>1.57</v>
      </c>
      <c r="I265" s="6" t="n">
        <f aca="false">IF(G265="","",ROUND(F265*(100-G265)/100,0))</f>
        <v>278</v>
      </c>
      <c r="J265" s="5" t="str">
        <f aca="false">IF(G265="","Needs KD",IF(D265&lt;&gt;"Client","Not a buyer",IF(AND(G265&lt;=25,F265&gt;=500),"P1 Quick Win",IF(AND(G265&lt;=35,F265&gt;=200),"P2 High Value",IF(G265&lt;=50,"P3 Build","P4 Long Term")))))</f>
        <v>Not a buyer</v>
      </c>
      <c r="K265" s="5" t="s">
        <v>276</v>
      </c>
      <c r="L265" s="5" t="s">
        <v>18</v>
      </c>
      <c r="M265" s="5"/>
    </row>
    <row r="266" customFormat="false" ht="15" hidden="false" customHeight="false" outlineLevel="0" collapsed="false">
      <c r="A266" s="5" t="n">
        <v>265</v>
      </c>
      <c r="B266" s="5" t="s">
        <v>314</v>
      </c>
      <c r="C266" s="5" t="s">
        <v>274</v>
      </c>
      <c r="D266" s="5" t="s">
        <v>297</v>
      </c>
      <c r="E266" s="5" t="s">
        <v>20</v>
      </c>
      <c r="F266" s="6" t="n">
        <v>320</v>
      </c>
      <c r="G266" s="5" t="n">
        <v>14</v>
      </c>
      <c r="H266" s="7" t="n">
        <v>9.14</v>
      </c>
      <c r="I266" s="6" t="n">
        <f aca="false">IF(G266="","",ROUND(F266*(100-G266)/100,0))</f>
        <v>275</v>
      </c>
      <c r="J266" s="5" t="str">
        <f aca="false">IF(G266="","Needs KD",IF(D266&lt;&gt;"Client","Not a buyer",IF(AND(G266&lt;=25,F266&gt;=500),"P1 Quick Win",IF(AND(G266&lt;=35,F266&gt;=200),"P2 High Value",IF(G266&lt;=50,"P3 Build","P4 Long Term")))))</f>
        <v>Not a buyer</v>
      </c>
      <c r="K266" s="5" t="s">
        <v>298</v>
      </c>
      <c r="L266" s="5" t="s">
        <v>18</v>
      </c>
      <c r="M266" s="5"/>
    </row>
    <row r="267" customFormat="false" ht="15" hidden="false" customHeight="false" outlineLevel="0" collapsed="false">
      <c r="A267" s="2" t="n">
        <v>266</v>
      </c>
      <c r="B267" s="2" t="s">
        <v>315</v>
      </c>
      <c r="C267" s="2" t="s">
        <v>274</v>
      </c>
      <c r="D267" s="2" t="s">
        <v>15</v>
      </c>
      <c r="E267" s="2" t="s">
        <v>44</v>
      </c>
      <c r="F267" s="3" t="n">
        <v>260</v>
      </c>
      <c r="G267" s="2" t="n">
        <v>14</v>
      </c>
      <c r="H267" s="4" t="n">
        <v>0.92</v>
      </c>
      <c r="I267" s="3" t="n">
        <f aca="false">IF(G267="","",ROUND(F267*(100-G267)/100,0))</f>
        <v>224</v>
      </c>
      <c r="J267" s="2" t="str">
        <f aca="false">IF(G267="","Needs KD",IF(D267&lt;&gt;"Client","Not a buyer",IF(AND(G267&lt;=25,F267&gt;=500),"P1 Quick Win",IF(AND(G267&lt;=35,F267&gt;=200),"P2 High Value",IF(G267&lt;=50,"P3 Build","P4 Long Term")))))</f>
        <v>P2 High Value</v>
      </c>
      <c r="K267" s="2" t="s">
        <v>281</v>
      </c>
      <c r="L267" s="2" t="s">
        <v>18</v>
      </c>
      <c r="M267" s="2"/>
    </row>
    <row r="268" customFormat="false" ht="15" hidden="false" customHeight="false" outlineLevel="0" collapsed="false">
      <c r="A268" s="2" t="n">
        <v>267</v>
      </c>
      <c r="B268" s="2" t="s">
        <v>316</v>
      </c>
      <c r="C268" s="2" t="s">
        <v>274</v>
      </c>
      <c r="D268" s="2" t="s">
        <v>15</v>
      </c>
      <c r="E268" s="2" t="s">
        <v>44</v>
      </c>
      <c r="F268" s="3" t="n">
        <v>260</v>
      </c>
      <c r="G268" s="2" t="n">
        <v>13</v>
      </c>
      <c r="H268" s="4" t="n">
        <v>1.06</v>
      </c>
      <c r="I268" s="3" t="n">
        <f aca="false">IF(G268="","",ROUND(F268*(100-G268)/100,0))</f>
        <v>226</v>
      </c>
      <c r="J268" s="2" t="str">
        <f aca="false">IF(G268="","Needs KD",IF(D268&lt;&gt;"Client","Not a buyer",IF(AND(G268&lt;=25,F268&gt;=500),"P1 Quick Win",IF(AND(G268&lt;=35,F268&gt;=200),"P2 High Value",IF(G268&lt;=50,"P3 Build","P4 Long Term")))))</f>
        <v>P2 High Value</v>
      </c>
      <c r="K268" s="2" t="s">
        <v>281</v>
      </c>
      <c r="L268" s="2" t="s">
        <v>18</v>
      </c>
      <c r="M268" s="2"/>
    </row>
    <row r="269" customFormat="false" ht="15" hidden="false" customHeight="false" outlineLevel="0" collapsed="false">
      <c r="A269" s="2" t="n">
        <v>268</v>
      </c>
      <c r="B269" s="2" t="s">
        <v>317</v>
      </c>
      <c r="C269" s="2" t="s">
        <v>274</v>
      </c>
      <c r="D269" s="2" t="s">
        <v>15</v>
      </c>
      <c r="E269" s="2" t="s">
        <v>44</v>
      </c>
      <c r="F269" s="3" t="n">
        <v>260</v>
      </c>
      <c r="G269" s="2" t="n">
        <v>12</v>
      </c>
      <c r="H269" s="4" t="n">
        <v>1.05</v>
      </c>
      <c r="I269" s="3" t="n">
        <f aca="false">IF(G269="","",ROUND(F269*(100-G269)/100,0))</f>
        <v>229</v>
      </c>
      <c r="J269" s="2" t="str">
        <f aca="false">IF(G269="","Needs KD",IF(D269&lt;&gt;"Client","Not a buyer",IF(AND(G269&lt;=25,F269&gt;=500),"P1 Quick Win",IF(AND(G269&lt;=35,F269&gt;=200),"P2 High Value",IF(G269&lt;=50,"P3 Build","P4 Long Term")))))</f>
        <v>P2 High Value</v>
      </c>
      <c r="K269" s="2" t="s">
        <v>281</v>
      </c>
      <c r="L269" s="2" t="s">
        <v>18</v>
      </c>
      <c r="M269" s="2"/>
    </row>
    <row r="270" customFormat="false" ht="15" hidden="false" customHeight="false" outlineLevel="0" collapsed="false">
      <c r="A270" s="2" t="n">
        <v>269</v>
      </c>
      <c r="B270" s="2" t="s">
        <v>318</v>
      </c>
      <c r="C270" s="2" t="s">
        <v>274</v>
      </c>
      <c r="D270" s="2" t="s">
        <v>15</v>
      </c>
      <c r="E270" s="2" t="s">
        <v>39</v>
      </c>
      <c r="F270" s="3" t="n">
        <v>260</v>
      </c>
      <c r="G270" s="2" t="n">
        <v>14</v>
      </c>
      <c r="H270" s="4" t="n">
        <v>0.59</v>
      </c>
      <c r="I270" s="3" t="n">
        <f aca="false">IF(G270="","",ROUND(F270*(100-G270)/100,0))</f>
        <v>224</v>
      </c>
      <c r="J270" s="2" t="str">
        <f aca="false">IF(G270="","Needs KD",IF(D270&lt;&gt;"Client","Not a buyer",IF(AND(G270&lt;=25,F270&gt;=500),"P1 Quick Win",IF(AND(G270&lt;=35,F270&gt;=200),"P2 High Value",IF(G270&lt;=50,"P3 Build","P4 Long Term")))))</f>
        <v>P2 High Value</v>
      </c>
      <c r="K270" s="2" t="s">
        <v>279</v>
      </c>
      <c r="L270" s="2" t="s">
        <v>18</v>
      </c>
      <c r="M270" s="2"/>
    </row>
    <row r="271" customFormat="false" ht="15" hidden="false" customHeight="false" outlineLevel="0" collapsed="false">
      <c r="A271" s="5" t="n">
        <v>270</v>
      </c>
      <c r="B271" s="5" t="s">
        <v>319</v>
      </c>
      <c r="C271" s="5" t="s">
        <v>274</v>
      </c>
      <c r="D271" s="5" t="s">
        <v>62</v>
      </c>
      <c r="E271" s="5" t="s">
        <v>44</v>
      </c>
      <c r="F271" s="6" t="n">
        <v>260</v>
      </c>
      <c r="G271" s="5" t="n">
        <v>10</v>
      </c>
      <c r="H271" s="7" t="n">
        <v>0</v>
      </c>
      <c r="I271" s="6" t="n">
        <f aca="false">IF(G271="","",ROUND(F271*(100-G271)/100,0))</f>
        <v>234</v>
      </c>
      <c r="J271" s="5" t="str">
        <f aca="false">IF(G271="","Needs KD",IF(D271&lt;&gt;"Client","Not a buyer",IF(AND(G271&lt;=25,F271&gt;=500),"P1 Quick Win",IF(AND(G271&lt;=35,F271&gt;=200),"P2 High Value",IF(G271&lt;=50,"P3 Build","P4 Long Term")))))</f>
        <v>Not a buyer</v>
      </c>
      <c r="K271" s="5" t="s">
        <v>284</v>
      </c>
      <c r="L271" s="5" t="s">
        <v>18</v>
      </c>
      <c r="M271" s="5"/>
    </row>
    <row r="272" customFormat="false" ht="15" hidden="false" customHeight="false" outlineLevel="0" collapsed="false">
      <c r="A272" s="5" t="n">
        <v>271</v>
      </c>
      <c r="B272" s="5" t="s">
        <v>320</v>
      </c>
      <c r="C272" s="5" t="s">
        <v>274</v>
      </c>
      <c r="D272" s="5" t="s">
        <v>62</v>
      </c>
      <c r="E272" s="5" t="s">
        <v>44</v>
      </c>
      <c r="F272" s="6" t="n">
        <v>260</v>
      </c>
      <c r="G272" s="5" t="n">
        <v>9</v>
      </c>
      <c r="H272" s="7" t="n">
        <v>1.61</v>
      </c>
      <c r="I272" s="6" t="n">
        <f aca="false">IF(G272="","",ROUND(F272*(100-G272)/100,0))</f>
        <v>237</v>
      </c>
      <c r="J272" s="5" t="str">
        <f aca="false">IF(G272="","Needs KD",IF(D272&lt;&gt;"Client","Not a buyer",IF(AND(G272&lt;=25,F272&gt;=500),"P1 Quick Win",IF(AND(G272&lt;=35,F272&gt;=200),"P2 High Value",IF(G272&lt;=50,"P3 Build","P4 Long Term")))))</f>
        <v>Not a buyer</v>
      </c>
      <c r="K272" s="5" t="s">
        <v>284</v>
      </c>
      <c r="L272" s="5" t="s">
        <v>18</v>
      </c>
      <c r="M272" s="5"/>
    </row>
    <row r="273" customFormat="false" ht="15" hidden="false" customHeight="false" outlineLevel="0" collapsed="false">
      <c r="A273" s="5" t="n">
        <v>272</v>
      </c>
      <c r="B273" s="5" t="s">
        <v>321</v>
      </c>
      <c r="C273" s="5" t="s">
        <v>274</v>
      </c>
      <c r="D273" s="5" t="s">
        <v>275</v>
      </c>
      <c r="E273" s="5" t="s">
        <v>44</v>
      </c>
      <c r="F273" s="6" t="n">
        <v>260</v>
      </c>
      <c r="G273" s="5" t="n">
        <v>10</v>
      </c>
      <c r="H273" s="7" t="n">
        <v>1.57</v>
      </c>
      <c r="I273" s="6" t="n">
        <f aca="false">IF(G273="","",ROUND(F273*(100-G273)/100,0))</f>
        <v>234</v>
      </c>
      <c r="J273" s="5" t="str">
        <f aca="false">IF(G273="","Needs KD",IF(D273&lt;&gt;"Client","Not a buyer",IF(AND(G273&lt;=25,F273&gt;=500),"P1 Quick Win",IF(AND(G273&lt;=35,F273&gt;=200),"P2 High Value",IF(G273&lt;=50,"P3 Build","P4 Long Term")))))</f>
        <v>Not a buyer</v>
      </c>
      <c r="K273" s="5" t="s">
        <v>276</v>
      </c>
      <c r="L273" s="5" t="s">
        <v>18</v>
      </c>
      <c r="M273" s="5"/>
    </row>
    <row r="274" customFormat="false" ht="15" hidden="false" customHeight="false" outlineLevel="0" collapsed="false">
      <c r="A274" s="5" t="n">
        <v>273</v>
      </c>
      <c r="B274" s="5" t="s">
        <v>322</v>
      </c>
      <c r="C274" s="5" t="s">
        <v>274</v>
      </c>
      <c r="D274" s="5" t="s">
        <v>275</v>
      </c>
      <c r="E274" s="5" t="s">
        <v>44</v>
      </c>
      <c r="F274" s="6" t="n">
        <v>260</v>
      </c>
      <c r="G274" s="5" t="n">
        <v>10</v>
      </c>
      <c r="H274" s="7" t="n">
        <v>1.87</v>
      </c>
      <c r="I274" s="6" t="n">
        <f aca="false">IF(G274="","",ROUND(F274*(100-G274)/100,0))</f>
        <v>234</v>
      </c>
      <c r="J274" s="5" t="str">
        <f aca="false">IF(G274="","Needs KD",IF(D274&lt;&gt;"Client","Not a buyer",IF(AND(G274&lt;=25,F274&gt;=500),"P1 Quick Win",IF(AND(G274&lt;=35,F274&gt;=200),"P2 High Value",IF(G274&lt;=50,"P3 Build","P4 Long Term")))))</f>
        <v>Not a buyer</v>
      </c>
      <c r="K274" s="5" t="s">
        <v>276</v>
      </c>
      <c r="L274" s="5" t="s">
        <v>18</v>
      </c>
      <c r="M274" s="5"/>
    </row>
    <row r="275" customFormat="false" ht="15" hidden="false" customHeight="false" outlineLevel="0" collapsed="false">
      <c r="A275" s="5" t="n">
        <v>274</v>
      </c>
      <c r="B275" s="5" t="s">
        <v>323</v>
      </c>
      <c r="C275" s="5" t="s">
        <v>274</v>
      </c>
      <c r="D275" s="5" t="s">
        <v>275</v>
      </c>
      <c r="E275" s="5" t="s">
        <v>44</v>
      </c>
      <c r="F275" s="6" t="n">
        <v>260</v>
      </c>
      <c r="G275" s="5" t="n">
        <v>13</v>
      </c>
      <c r="H275" s="7" t="n">
        <v>0.8</v>
      </c>
      <c r="I275" s="6" t="n">
        <f aca="false">IF(G275="","",ROUND(F275*(100-G275)/100,0))</f>
        <v>226</v>
      </c>
      <c r="J275" s="5" t="str">
        <f aca="false">IF(G275="","Needs KD",IF(D275&lt;&gt;"Client","Not a buyer",IF(AND(G275&lt;=25,F275&gt;=500),"P1 Quick Win",IF(AND(G275&lt;=35,F275&gt;=200),"P2 High Value",IF(G275&lt;=50,"P3 Build","P4 Long Term")))))</f>
        <v>Not a buyer</v>
      </c>
      <c r="K275" s="5" t="s">
        <v>276</v>
      </c>
      <c r="L275" s="5" t="s">
        <v>18</v>
      </c>
      <c r="M275" s="5"/>
    </row>
    <row r="276" customFormat="false" ht="15" hidden="false" customHeight="false" outlineLevel="0" collapsed="false">
      <c r="A276" s="5" t="n">
        <v>275</v>
      </c>
      <c r="B276" s="5" t="s">
        <v>324</v>
      </c>
      <c r="C276" s="5" t="s">
        <v>274</v>
      </c>
      <c r="D276" s="5" t="s">
        <v>275</v>
      </c>
      <c r="E276" s="5" t="s">
        <v>44</v>
      </c>
      <c r="F276" s="6" t="n">
        <v>260</v>
      </c>
      <c r="G276" s="5" t="n">
        <v>12</v>
      </c>
      <c r="H276" s="7" t="n">
        <v>3.26</v>
      </c>
      <c r="I276" s="6" t="n">
        <f aca="false">IF(G276="","",ROUND(F276*(100-G276)/100,0))</f>
        <v>229</v>
      </c>
      <c r="J276" s="5" t="str">
        <f aca="false">IF(G276="","Needs KD",IF(D276&lt;&gt;"Client","Not a buyer",IF(AND(G276&lt;=25,F276&gt;=500),"P1 Quick Win",IF(AND(G276&lt;=35,F276&gt;=200),"P2 High Value",IF(G276&lt;=50,"P3 Build","P4 Long Term")))))</f>
        <v>Not a buyer</v>
      </c>
      <c r="K276" s="5" t="s">
        <v>276</v>
      </c>
      <c r="L276" s="5" t="s">
        <v>18</v>
      </c>
      <c r="M276" s="5"/>
    </row>
    <row r="277" customFormat="false" ht="15" hidden="false" customHeight="false" outlineLevel="0" collapsed="false">
      <c r="A277" s="2" t="n">
        <v>276</v>
      </c>
      <c r="B277" s="2" t="s">
        <v>325</v>
      </c>
      <c r="C277" s="2" t="s">
        <v>274</v>
      </c>
      <c r="D277" s="2" t="s">
        <v>15</v>
      </c>
      <c r="E277" s="2" t="s">
        <v>44</v>
      </c>
      <c r="F277" s="3" t="n">
        <v>210</v>
      </c>
      <c r="G277" s="2" t="n">
        <v>12</v>
      </c>
      <c r="H277" s="4" t="n">
        <v>0.75</v>
      </c>
      <c r="I277" s="3" t="n">
        <f aca="false">IF(G277="","",ROUND(F277*(100-G277)/100,0))</f>
        <v>185</v>
      </c>
      <c r="J277" s="2" t="str">
        <f aca="false">IF(G277="","Needs KD",IF(D277&lt;&gt;"Client","Not a buyer",IF(AND(G277&lt;=25,F277&gt;=500),"P1 Quick Win",IF(AND(G277&lt;=35,F277&gt;=200),"P2 High Value",IF(G277&lt;=50,"P3 Build","P4 Long Term")))))</f>
        <v>P2 High Value</v>
      </c>
      <c r="K277" s="2" t="s">
        <v>281</v>
      </c>
      <c r="L277" s="2" t="s">
        <v>18</v>
      </c>
      <c r="M277" s="2"/>
    </row>
    <row r="278" customFormat="false" ht="15" hidden="false" customHeight="false" outlineLevel="0" collapsed="false">
      <c r="A278" s="2" t="n">
        <v>277</v>
      </c>
      <c r="B278" s="2" t="s">
        <v>326</v>
      </c>
      <c r="C278" s="2" t="s">
        <v>274</v>
      </c>
      <c r="D278" s="2" t="s">
        <v>15</v>
      </c>
      <c r="E278" s="2" t="s">
        <v>44</v>
      </c>
      <c r="F278" s="3" t="n">
        <v>210</v>
      </c>
      <c r="G278" s="2" t="n">
        <v>12</v>
      </c>
      <c r="H278" s="4" t="n">
        <v>1.1</v>
      </c>
      <c r="I278" s="3" t="n">
        <f aca="false">IF(G278="","",ROUND(F278*(100-G278)/100,0))</f>
        <v>185</v>
      </c>
      <c r="J278" s="2" t="str">
        <f aca="false">IF(G278="","Needs KD",IF(D278&lt;&gt;"Client","Not a buyer",IF(AND(G278&lt;=25,F278&gt;=500),"P1 Quick Win",IF(AND(G278&lt;=35,F278&gt;=200),"P2 High Value",IF(G278&lt;=50,"P3 Build","P4 Long Term")))))</f>
        <v>P2 High Value</v>
      </c>
      <c r="K278" s="2" t="s">
        <v>281</v>
      </c>
      <c r="L278" s="2" t="s">
        <v>18</v>
      </c>
      <c r="M278" s="2"/>
    </row>
    <row r="279" customFormat="false" ht="15" hidden="false" customHeight="false" outlineLevel="0" collapsed="false">
      <c r="A279" s="2" t="n">
        <v>278</v>
      </c>
      <c r="B279" s="2" t="s">
        <v>327</v>
      </c>
      <c r="C279" s="2" t="s">
        <v>274</v>
      </c>
      <c r="D279" s="2" t="s">
        <v>15</v>
      </c>
      <c r="E279" s="2" t="s">
        <v>44</v>
      </c>
      <c r="F279" s="3" t="n">
        <v>210</v>
      </c>
      <c r="G279" s="2" t="n">
        <v>12</v>
      </c>
      <c r="H279" s="4" t="n">
        <v>1</v>
      </c>
      <c r="I279" s="3" t="n">
        <f aca="false">IF(G279="","",ROUND(F279*(100-G279)/100,0))</f>
        <v>185</v>
      </c>
      <c r="J279" s="2" t="str">
        <f aca="false">IF(G279="","Needs KD",IF(D279&lt;&gt;"Client","Not a buyer",IF(AND(G279&lt;=25,F279&gt;=500),"P1 Quick Win",IF(AND(G279&lt;=35,F279&gt;=200),"P2 High Value",IF(G279&lt;=50,"P3 Build","P4 Long Term")))))</f>
        <v>P2 High Value</v>
      </c>
      <c r="K279" s="2" t="s">
        <v>281</v>
      </c>
      <c r="L279" s="2" t="s">
        <v>18</v>
      </c>
      <c r="M279" s="2"/>
    </row>
    <row r="280" customFormat="false" ht="15" hidden="false" customHeight="false" outlineLevel="0" collapsed="false">
      <c r="A280" s="2" t="n">
        <v>279</v>
      </c>
      <c r="B280" s="2" t="s">
        <v>328</v>
      </c>
      <c r="C280" s="2" t="s">
        <v>274</v>
      </c>
      <c r="D280" s="2" t="s">
        <v>15</v>
      </c>
      <c r="E280" s="2" t="s">
        <v>44</v>
      </c>
      <c r="F280" s="3" t="n">
        <v>210</v>
      </c>
      <c r="G280" s="2" t="n">
        <v>11</v>
      </c>
      <c r="H280" s="4" t="n">
        <v>0.93</v>
      </c>
      <c r="I280" s="3" t="n">
        <f aca="false">IF(G280="","",ROUND(F280*(100-G280)/100,0))</f>
        <v>187</v>
      </c>
      <c r="J280" s="2" t="str">
        <f aca="false">IF(G280="","Needs KD",IF(D280&lt;&gt;"Client","Not a buyer",IF(AND(G280&lt;=25,F280&gt;=500),"P1 Quick Win",IF(AND(G280&lt;=35,F280&gt;=200),"P2 High Value",IF(G280&lt;=50,"P3 Build","P4 Long Term")))))</f>
        <v>P2 High Value</v>
      </c>
      <c r="K280" s="2" t="s">
        <v>281</v>
      </c>
      <c r="L280" s="2" t="s">
        <v>18</v>
      </c>
      <c r="M280" s="2"/>
    </row>
    <row r="281" customFormat="false" ht="15" hidden="false" customHeight="false" outlineLevel="0" collapsed="false">
      <c r="A281" s="2" t="n">
        <v>280</v>
      </c>
      <c r="B281" s="2" t="s">
        <v>329</v>
      </c>
      <c r="C281" s="2" t="s">
        <v>274</v>
      </c>
      <c r="D281" s="2" t="s">
        <v>15</v>
      </c>
      <c r="E281" s="2" t="s">
        <v>44</v>
      </c>
      <c r="F281" s="3" t="n">
        <v>210</v>
      </c>
      <c r="G281" s="2" t="n">
        <v>9</v>
      </c>
      <c r="H281" s="4" t="n">
        <v>0.87</v>
      </c>
      <c r="I281" s="3" t="n">
        <f aca="false">IF(G281="","",ROUND(F281*(100-G281)/100,0))</f>
        <v>191</v>
      </c>
      <c r="J281" s="2" t="str">
        <f aca="false">IF(G281="","Needs KD",IF(D281&lt;&gt;"Client","Not a buyer",IF(AND(G281&lt;=25,F281&gt;=500),"P1 Quick Win",IF(AND(G281&lt;=35,F281&gt;=200),"P2 High Value",IF(G281&lt;=50,"P3 Build","P4 Long Term")))))</f>
        <v>P2 High Value</v>
      </c>
      <c r="K281" s="2" t="s">
        <v>281</v>
      </c>
      <c r="L281" s="2" t="s">
        <v>18</v>
      </c>
      <c r="M281" s="2"/>
    </row>
    <row r="282" customFormat="false" ht="15" hidden="false" customHeight="false" outlineLevel="0" collapsed="false">
      <c r="A282" s="2" t="n">
        <v>281</v>
      </c>
      <c r="B282" s="2" t="s">
        <v>330</v>
      </c>
      <c r="C282" s="2" t="s">
        <v>274</v>
      </c>
      <c r="D282" s="2" t="s">
        <v>15</v>
      </c>
      <c r="E282" s="2" t="s">
        <v>44</v>
      </c>
      <c r="F282" s="3" t="n">
        <v>210</v>
      </c>
      <c r="G282" s="2" t="n">
        <v>15</v>
      </c>
      <c r="H282" s="4" t="n">
        <v>3.46</v>
      </c>
      <c r="I282" s="3" t="n">
        <f aca="false">IF(G282="","",ROUND(F282*(100-G282)/100,0))</f>
        <v>179</v>
      </c>
      <c r="J282" s="2" t="str">
        <f aca="false">IF(G282="","Needs KD",IF(D282&lt;&gt;"Client","Not a buyer",IF(AND(G282&lt;=25,F282&gt;=500),"P1 Quick Win",IF(AND(G282&lt;=35,F282&gt;=200),"P2 High Value",IF(G282&lt;=50,"P3 Build","P4 Long Term")))))</f>
        <v>P2 High Value</v>
      </c>
      <c r="K282" s="2" t="s">
        <v>281</v>
      </c>
      <c r="L282" s="2" t="s">
        <v>18</v>
      </c>
      <c r="M282" s="2"/>
    </row>
    <row r="283" customFormat="false" ht="15" hidden="false" customHeight="false" outlineLevel="0" collapsed="false">
      <c r="A283" s="2" t="n">
        <v>282</v>
      </c>
      <c r="B283" s="2" t="s">
        <v>331</v>
      </c>
      <c r="C283" s="2" t="s">
        <v>274</v>
      </c>
      <c r="D283" s="2" t="s">
        <v>15</v>
      </c>
      <c r="E283" s="2" t="s">
        <v>44</v>
      </c>
      <c r="F283" s="3" t="n">
        <v>210</v>
      </c>
      <c r="G283" s="2" t="n">
        <v>15</v>
      </c>
      <c r="H283" s="4" t="n">
        <v>2.58</v>
      </c>
      <c r="I283" s="3" t="n">
        <f aca="false">IF(G283="","",ROUND(F283*(100-G283)/100,0))</f>
        <v>179</v>
      </c>
      <c r="J283" s="2" t="str">
        <f aca="false">IF(G283="","Needs KD",IF(D283&lt;&gt;"Client","Not a buyer",IF(AND(G283&lt;=25,F283&gt;=500),"P1 Quick Win",IF(AND(G283&lt;=35,F283&gt;=200),"P2 High Value",IF(G283&lt;=50,"P3 Build","P4 Long Term")))))</f>
        <v>P2 High Value</v>
      </c>
      <c r="K283" s="2" t="s">
        <v>281</v>
      </c>
      <c r="L283" s="2" t="s">
        <v>18</v>
      </c>
      <c r="M283" s="2"/>
    </row>
    <row r="284" customFormat="false" ht="15" hidden="false" customHeight="false" outlineLevel="0" collapsed="false">
      <c r="A284" s="2" t="n">
        <v>283</v>
      </c>
      <c r="B284" s="2" t="s">
        <v>332</v>
      </c>
      <c r="C284" s="2" t="s">
        <v>274</v>
      </c>
      <c r="D284" s="2" t="s">
        <v>15</v>
      </c>
      <c r="E284" s="2" t="s">
        <v>44</v>
      </c>
      <c r="F284" s="3" t="n">
        <v>210</v>
      </c>
      <c r="G284" s="2" t="n">
        <v>14</v>
      </c>
      <c r="H284" s="4" t="n">
        <v>1.14</v>
      </c>
      <c r="I284" s="3" t="n">
        <f aca="false">IF(G284="","",ROUND(F284*(100-G284)/100,0))</f>
        <v>181</v>
      </c>
      <c r="J284" s="2" t="str">
        <f aca="false">IF(G284="","Needs KD",IF(D284&lt;&gt;"Client","Not a buyer",IF(AND(G284&lt;=25,F284&gt;=500),"P1 Quick Win",IF(AND(G284&lt;=35,F284&gt;=200),"P2 High Value",IF(G284&lt;=50,"P3 Build","P4 Long Term")))))</f>
        <v>P2 High Value</v>
      </c>
      <c r="K284" s="2" t="s">
        <v>281</v>
      </c>
      <c r="L284" s="2" t="s">
        <v>18</v>
      </c>
      <c r="M284" s="2"/>
    </row>
    <row r="285" customFormat="false" ht="15" hidden="false" customHeight="false" outlineLevel="0" collapsed="false">
      <c r="A285" s="5" t="n">
        <v>284</v>
      </c>
      <c r="B285" s="5" t="s">
        <v>333</v>
      </c>
      <c r="C285" s="5" t="s">
        <v>274</v>
      </c>
      <c r="D285" s="5" t="s">
        <v>62</v>
      </c>
      <c r="E285" s="5" t="s">
        <v>34</v>
      </c>
      <c r="F285" s="6" t="n">
        <v>210</v>
      </c>
      <c r="G285" s="5" t="n">
        <v>11</v>
      </c>
      <c r="H285" s="7" t="n">
        <v>1.05</v>
      </c>
      <c r="I285" s="6" t="n">
        <f aca="false">IF(G285="","",ROUND(F285*(100-G285)/100,0))</f>
        <v>187</v>
      </c>
      <c r="J285" s="5" t="str">
        <f aca="false">IF(G285="","Needs KD",IF(D285&lt;&gt;"Client","Not a buyer",IF(AND(G285&lt;=25,F285&gt;=500),"P1 Quick Win",IF(AND(G285&lt;=35,F285&gt;=200),"P2 High Value",IF(G285&lt;=50,"P3 Build","P4 Long Term")))))</f>
        <v>Not a buyer</v>
      </c>
      <c r="K285" s="5" t="s">
        <v>291</v>
      </c>
      <c r="L285" s="5" t="s">
        <v>18</v>
      </c>
      <c r="M285" s="5"/>
    </row>
    <row r="286" customFormat="false" ht="15" hidden="false" customHeight="false" outlineLevel="0" collapsed="false">
      <c r="A286" s="5" t="n">
        <v>285</v>
      </c>
      <c r="B286" s="5" t="s">
        <v>334</v>
      </c>
      <c r="C286" s="5" t="s">
        <v>274</v>
      </c>
      <c r="D286" s="5" t="s">
        <v>62</v>
      </c>
      <c r="E286" s="5" t="s">
        <v>53</v>
      </c>
      <c r="F286" s="6" t="n">
        <v>210</v>
      </c>
      <c r="G286" s="5" t="n">
        <v>15</v>
      </c>
      <c r="H286" s="7" t="n">
        <v>0.07</v>
      </c>
      <c r="I286" s="6" t="n">
        <f aca="false">IF(G286="","",ROUND(F286*(100-G286)/100,0))</f>
        <v>179</v>
      </c>
      <c r="J286" s="5" t="str">
        <f aca="false">IF(G286="","Needs KD",IF(D286&lt;&gt;"Client","Not a buyer",IF(AND(G286&lt;=25,F286&gt;=500),"P1 Quick Win",IF(AND(G286&lt;=35,F286&gt;=200),"P2 High Value",IF(G286&lt;=50,"P3 Build","P4 Long Term")))))</f>
        <v>Not a buyer</v>
      </c>
      <c r="K286" s="5" t="s">
        <v>284</v>
      </c>
      <c r="L286" s="5" t="s">
        <v>18</v>
      </c>
      <c r="M286" s="5"/>
    </row>
    <row r="287" customFormat="false" ht="15" hidden="false" customHeight="false" outlineLevel="0" collapsed="false">
      <c r="A287" s="5" t="n">
        <v>286</v>
      </c>
      <c r="B287" s="5" t="s">
        <v>335</v>
      </c>
      <c r="C287" s="5" t="s">
        <v>274</v>
      </c>
      <c r="D287" s="5" t="s">
        <v>275</v>
      </c>
      <c r="E287" s="5" t="s">
        <v>44</v>
      </c>
      <c r="F287" s="6" t="n">
        <v>210</v>
      </c>
      <c r="G287" s="5" t="n">
        <v>10</v>
      </c>
      <c r="H287" s="7" t="n">
        <v>0.65</v>
      </c>
      <c r="I287" s="6" t="n">
        <f aca="false">IF(G287="","",ROUND(F287*(100-G287)/100,0))</f>
        <v>189</v>
      </c>
      <c r="J287" s="5" t="str">
        <f aca="false">IF(G287="","Needs KD",IF(D287&lt;&gt;"Client","Not a buyer",IF(AND(G287&lt;=25,F287&gt;=500),"P1 Quick Win",IF(AND(G287&lt;=35,F287&gt;=200),"P2 High Value",IF(G287&lt;=50,"P3 Build","P4 Long Term")))))</f>
        <v>Not a buyer</v>
      </c>
      <c r="K287" s="5" t="s">
        <v>276</v>
      </c>
      <c r="L287" s="5" t="s">
        <v>18</v>
      </c>
      <c r="M287" s="5"/>
    </row>
    <row r="288" customFormat="false" ht="15" hidden="false" customHeight="false" outlineLevel="0" collapsed="false">
      <c r="A288" s="5" t="n">
        <v>287</v>
      </c>
      <c r="B288" s="5" t="s">
        <v>336</v>
      </c>
      <c r="C288" s="5" t="s">
        <v>274</v>
      </c>
      <c r="D288" s="5" t="s">
        <v>275</v>
      </c>
      <c r="E288" s="5" t="s">
        <v>44</v>
      </c>
      <c r="F288" s="6" t="n">
        <v>210</v>
      </c>
      <c r="G288" s="5" t="n">
        <v>15</v>
      </c>
      <c r="H288" s="7" t="n">
        <v>0.77</v>
      </c>
      <c r="I288" s="6" t="n">
        <f aca="false">IF(G288="","",ROUND(F288*(100-G288)/100,0))</f>
        <v>179</v>
      </c>
      <c r="J288" s="5" t="str">
        <f aca="false">IF(G288="","Needs KD",IF(D288&lt;&gt;"Client","Not a buyer",IF(AND(G288&lt;=25,F288&gt;=500),"P1 Quick Win",IF(AND(G288&lt;=35,F288&gt;=200),"P2 High Value",IF(G288&lt;=50,"P3 Build","P4 Long Term")))))</f>
        <v>Not a buyer</v>
      </c>
      <c r="K288" s="5" t="s">
        <v>276</v>
      </c>
      <c r="L288" s="5" t="s">
        <v>18</v>
      </c>
      <c r="M288" s="5"/>
    </row>
    <row r="289" customFormat="false" ht="15" hidden="false" customHeight="false" outlineLevel="0" collapsed="false">
      <c r="A289" s="5" t="n">
        <v>288</v>
      </c>
      <c r="B289" s="5" t="s">
        <v>337</v>
      </c>
      <c r="C289" s="5" t="s">
        <v>274</v>
      </c>
      <c r="D289" s="5" t="s">
        <v>275</v>
      </c>
      <c r="E289" s="5" t="s">
        <v>44</v>
      </c>
      <c r="F289" s="6" t="n">
        <v>210</v>
      </c>
      <c r="G289" s="5" t="n">
        <v>14</v>
      </c>
      <c r="H289" s="7" t="n">
        <v>0.94</v>
      </c>
      <c r="I289" s="6" t="n">
        <f aca="false">IF(G289="","",ROUND(F289*(100-G289)/100,0))</f>
        <v>181</v>
      </c>
      <c r="J289" s="5" t="str">
        <f aca="false">IF(G289="","Needs KD",IF(D289&lt;&gt;"Client","Not a buyer",IF(AND(G289&lt;=25,F289&gt;=500),"P1 Quick Win",IF(AND(G289&lt;=35,F289&gt;=200),"P2 High Value",IF(G289&lt;=50,"P3 Build","P4 Long Term")))))</f>
        <v>Not a buyer</v>
      </c>
      <c r="K289" s="5" t="s">
        <v>276</v>
      </c>
      <c r="L289" s="5" t="s">
        <v>18</v>
      </c>
      <c r="M289" s="5"/>
    </row>
    <row r="290" customFormat="false" ht="15" hidden="false" customHeight="false" outlineLevel="0" collapsed="false">
      <c r="A290" s="5" t="n">
        <v>289</v>
      </c>
      <c r="B290" s="5" t="s">
        <v>338</v>
      </c>
      <c r="C290" s="5" t="s">
        <v>274</v>
      </c>
      <c r="D290" s="5" t="s">
        <v>275</v>
      </c>
      <c r="E290" s="5" t="s">
        <v>44</v>
      </c>
      <c r="F290" s="6" t="n">
        <v>210</v>
      </c>
      <c r="G290" s="5" t="n">
        <v>15</v>
      </c>
      <c r="H290" s="7" t="n">
        <v>0.16</v>
      </c>
      <c r="I290" s="6" t="n">
        <f aca="false">IF(G290="","",ROUND(F290*(100-G290)/100,0))</f>
        <v>179</v>
      </c>
      <c r="J290" s="5" t="str">
        <f aca="false">IF(G290="","Needs KD",IF(D290&lt;&gt;"Client","Not a buyer",IF(AND(G290&lt;=25,F290&gt;=500),"P1 Quick Win",IF(AND(G290&lt;=35,F290&gt;=200),"P2 High Value",IF(G290&lt;=50,"P3 Build","P4 Long Term")))))</f>
        <v>Not a buyer</v>
      </c>
      <c r="K290" s="5" t="s">
        <v>276</v>
      </c>
      <c r="L290" s="5" t="s">
        <v>18</v>
      </c>
      <c r="M290" s="5"/>
    </row>
    <row r="291" customFormat="false" ht="15" hidden="false" customHeight="false" outlineLevel="0" collapsed="false">
      <c r="A291" s="5" t="n">
        <v>290</v>
      </c>
      <c r="B291" s="5" t="s">
        <v>339</v>
      </c>
      <c r="C291" s="5" t="s">
        <v>274</v>
      </c>
      <c r="D291" s="5" t="s">
        <v>275</v>
      </c>
      <c r="E291" s="5" t="s">
        <v>44</v>
      </c>
      <c r="F291" s="6" t="n">
        <v>210</v>
      </c>
      <c r="G291" s="5" t="n">
        <v>12</v>
      </c>
      <c r="H291" s="7" t="n">
        <v>2.98</v>
      </c>
      <c r="I291" s="6" t="n">
        <f aca="false">IF(G291="","",ROUND(F291*(100-G291)/100,0))</f>
        <v>185</v>
      </c>
      <c r="J291" s="5" t="str">
        <f aca="false">IF(G291="","Needs KD",IF(D291&lt;&gt;"Client","Not a buyer",IF(AND(G291&lt;=25,F291&gt;=500),"P1 Quick Win",IF(AND(G291&lt;=35,F291&gt;=200),"P2 High Value",IF(G291&lt;=50,"P3 Build","P4 Long Term")))))</f>
        <v>Not a buyer</v>
      </c>
      <c r="K291" s="5" t="s">
        <v>276</v>
      </c>
      <c r="L291" s="5" t="s">
        <v>18</v>
      </c>
      <c r="M291" s="5"/>
    </row>
    <row r="292" customFormat="false" ht="15" hidden="false" customHeight="false" outlineLevel="0" collapsed="false">
      <c r="A292" s="5" t="n">
        <v>291</v>
      </c>
      <c r="B292" s="5" t="s">
        <v>340</v>
      </c>
      <c r="C292" s="5" t="s">
        <v>274</v>
      </c>
      <c r="D292" s="5" t="s">
        <v>297</v>
      </c>
      <c r="E292" s="5" t="s">
        <v>20</v>
      </c>
      <c r="F292" s="6" t="n">
        <v>210</v>
      </c>
      <c r="G292" s="5" t="n">
        <v>11</v>
      </c>
      <c r="H292" s="7" t="n">
        <v>7.17</v>
      </c>
      <c r="I292" s="6" t="n">
        <f aca="false">IF(G292="","",ROUND(F292*(100-G292)/100,0))</f>
        <v>187</v>
      </c>
      <c r="J292" s="5" t="str">
        <f aca="false">IF(G292="","Needs KD",IF(D292&lt;&gt;"Client","Not a buyer",IF(AND(G292&lt;=25,F292&gt;=500),"P1 Quick Win",IF(AND(G292&lt;=35,F292&gt;=200),"P2 High Value",IF(G292&lt;=50,"P3 Build","P4 Long Term")))))</f>
        <v>Not a buyer</v>
      </c>
      <c r="K292" s="5" t="s">
        <v>298</v>
      </c>
      <c r="L292" s="5" t="s">
        <v>18</v>
      </c>
      <c r="M292" s="5"/>
    </row>
    <row r="293" customFormat="false" ht="15" hidden="false" customHeight="false" outlineLevel="0" collapsed="false">
      <c r="A293" s="5" t="n">
        <v>292</v>
      </c>
      <c r="B293" s="5" t="s">
        <v>341</v>
      </c>
      <c r="C293" s="5" t="s">
        <v>274</v>
      </c>
      <c r="D293" s="5" t="s">
        <v>297</v>
      </c>
      <c r="E293" s="5" t="s">
        <v>20</v>
      </c>
      <c r="F293" s="6" t="n">
        <v>210</v>
      </c>
      <c r="G293" s="5" t="n">
        <v>11</v>
      </c>
      <c r="H293" s="7" t="n">
        <v>5.66</v>
      </c>
      <c r="I293" s="6" t="n">
        <f aca="false">IF(G293="","",ROUND(F293*(100-G293)/100,0))</f>
        <v>187</v>
      </c>
      <c r="J293" s="5" t="str">
        <f aca="false">IF(G293="","Needs KD",IF(D293&lt;&gt;"Client","Not a buyer",IF(AND(G293&lt;=25,F293&gt;=500),"P1 Quick Win",IF(AND(G293&lt;=35,F293&gt;=200),"P2 High Value",IF(G293&lt;=50,"P3 Build","P4 Long Term")))))</f>
        <v>Not a buyer</v>
      </c>
      <c r="K293" s="5" t="s">
        <v>298</v>
      </c>
      <c r="L293" s="5" t="s">
        <v>18</v>
      </c>
      <c r="M293" s="5"/>
    </row>
    <row r="294" customFormat="false" ht="15" hidden="false" customHeight="false" outlineLevel="0" collapsed="false">
      <c r="A294" s="5" t="n">
        <v>293</v>
      </c>
      <c r="B294" s="5" t="s">
        <v>342</v>
      </c>
      <c r="C294" s="5" t="s">
        <v>274</v>
      </c>
      <c r="D294" s="5" t="s">
        <v>297</v>
      </c>
      <c r="E294" s="5" t="s">
        <v>20</v>
      </c>
      <c r="F294" s="6" t="n">
        <v>210</v>
      </c>
      <c r="G294" s="5" t="n">
        <v>11</v>
      </c>
      <c r="H294" s="7" t="n">
        <v>5.66</v>
      </c>
      <c r="I294" s="6" t="n">
        <f aca="false">IF(G294="","",ROUND(F294*(100-G294)/100,0))</f>
        <v>187</v>
      </c>
      <c r="J294" s="5" t="str">
        <f aca="false">IF(G294="","Needs KD",IF(D294&lt;&gt;"Client","Not a buyer",IF(AND(G294&lt;=25,F294&gt;=500),"P1 Quick Win",IF(AND(G294&lt;=35,F294&gt;=200),"P2 High Value",IF(G294&lt;=50,"P3 Build","P4 Long Term")))))</f>
        <v>Not a buyer</v>
      </c>
      <c r="K294" s="5" t="s">
        <v>298</v>
      </c>
      <c r="L294" s="5" t="s">
        <v>18</v>
      </c>
      <c r="M294" s="5"/>
    </row>
    <row r="295" customFormat="false" ht="15" hidden="false" customHeight="false" outlineLevel="0" collapsed="false">
      <c r="A295" s="5" t="n">
        <v>294</v>
      </c>
      <c r="B295" s="5" t="s">
        <v>343</v>
      </c>
      <c r="C295" s="5" t="s">
        <v>274</v>
      </c>
      <c r="D295" s="5" t="s">
        <v>297</v>
      </c>
      <c r="E295" s="5" t="s">
        <v>44</v>
      </c>
      <c r="F295" s="6" t="n">
        <v>210</v>
      </c>
      <c r="G295" s="5" t="n">
        <v>11</v>
      </c>
      <c r="H295" s="7" t="n">
        <v>9.26</v>
      </c>
      <c r="I295" s="6" t="n">
        <f aca="false">IF(G295="","",ROUND(F295*(100-G295)/100,0))</f>
        <v>187</v>
      </c>
      <c r="J295" s="5" t="str">
        <f aca="false">IF(G295="","Needs KD",IF(D295&lt;&gt;"Client","Not a buyer",IF(AND(G295&lt;=25,F295&gt;=500),"P1 Quick Win",IF(AND(G295&lt;=35,F295&gt;=200),"P2 High Value",IF(G295&lt;=50,"P3 Build","P4 Long Term")))))</f>
        <v>Not a buyer</v>
      </c>
      <c r="K295" s="5" t="s">
        <v>298</v>
      </c>
      <c r="L295" s="5" t="s">
        <v>18</v>
      </c>
      <c r="M295" s="5"/>
    </row>
    <row r="296" customFormat="false" ht="15" hidden="false" customHeight="false" outlineLevel="0" collapsed="false">
      <c r="A296" s="2" t="n">
        <v>295</v>
      </c>
      <c r="B296" s="2" t="s">
        <v>344</v>
      </c>
      <c r="C296" s="2" t="s">
        <v>274</v>
      </c>
      <c r="D296" s="2" t="s">
        <v>15</v>
      </c>
      <c r="E296" s="2" t="s">
        <v>44</v>
      </c>
      <c r="F296" s="3" t="n">
        <v>170</v>
      </c>
      <c r="G296" s="2" t="n">
        <v>13</v>
      </c>
      <c r="H296" s="4" t="n">
        <v>1.04</v>
      </c>
      <c r="I296" s="3" t="n">
        <f aca="false">IF(G296="","",ROUND(F296*(100-G296)/100,0))</f>
        <v>148</v>
      </c>
      <c r="J296" s="2" t="str">
        <f aca="false">IF(G296="","Needs KD",IF(D296&lt;&gt;"Client","Not a buyer",IF(AND(G296&lt;=25,F296&gt;=500),"P1 Quick Win",IF(AND(G296&lt;=35,F296&gt;=200),"P2 High Value",IF(G296&lt;=50,"P3 Build","P4 Long Term")))))</f>
        <v>P3 Build</v>
      </c>
      <c r="K296" s="2" t="s">
        <v>281</v>
      </c>
      <c r="L296" s="2" t="s">
        <v>18</v>
      </c>
      <c r="M296" s="2"/>
    </row>
    <row r="297" customFormat="false" ht="15" hidden="false" customHeight="false" outlineLevel="0" collapsed="false">
      <c r="A297" s="2" t="n">
        <v>296</v>
      </c>
      <c r="B297" s="2" t="s">
        <v>345</v>
      </c>
      <c r="C297" s="2" t="s">
        <v>274</v>
      </c>
      <c r="D297" s="2" t="s">
        <v>15</v>
      </c>
      <c r="E297" s="2" t="s">
        <v>44</v>
      </c>
      <c r="F297" s="3" t="n">
        <v>170</v>
      </c>
      <c r="G297" s="2" t="n">
        <v>13</v>
      </c>
      <c r="H297" s="4" t="n">
        <v>0.79</v>
      </c>
      <c r="I297" s="3" t="n">
        <f aca="false">IF(G297="","",ROUND(F297*(100-G297)/100,0))</f>
        <v>148</v>
      </c>
      <c r="J297" s="2" t="str">
        <f aca="false">IF(G297="","Needs KD",IF(D297&lt;&gt;"Client","Not a buyer",IF(AND(G297&lt;=25,F297&gt;=500),"P1 Quick Win",IF(AND(G297&lt;=35,F297&gt;=200),"P2 High Value",IF(G297&lt;=50,"P3 Build","P4 Long Term")))))</f>
        <v>P3 Build</v>
      </c>
      <c r="K297" s="2" t="s">
        <v>281</v>
      </c>
      <c r="L297" s="2" t="s">
        <v>18</v>
      </c>
      <c r="M297" s="2"/>
    </row>
    <row r="298" customFormat="false" ht="15" hidden="false" customHeight="false" outlineLevel="0" collapsed="false">
      <c r="A298" s="2" t="n">
        <v>297</v>
      </c>
      <c r="B298" s="2" t="s">
        <v>346</v>
      </c>
      <c r="C298" s="2" t="s">
        <v>274</v>
      </c>
      <c r="D298" s="2" t="s">
        <v>15</v>
      </c>
      <c r="E298" s="2" t="s">
        <v>44</v>
      </c>
      <c r="F298" s="3" t="n">
        <v>170</v>
      </c>
      <c r="G298" s="2" t="n">
        <v>11</v>
      </c>
      <c r="H298" s="4" t="n">
        <v>4.14</v>
      </c>
      <c r="I298" s="3" t="n">
        <f aca="false">IF(G298="","",ROUND(F298*(100-G298)/100,0))</f>
        <v>151</v>
      </c>
      <c r="J298" s="2" t="str">
        <f aca="false">IF(G298="","Needs KD",IF(D298&lt;&gt;"Client","Not a buyer",IF(AND(G298&lt;=25,F298&gt;=500),"P1 Quick Win",IF(AND(G298&lt;=35,F298&gt;=200),"P2 High Value",IF(G298&lt;=50,"P3 Build","P4 Long Term")))))</f>
        <v>P3 Build</v>
      </c>
      <c r="K298" s="2" t="s">
        <v>281</v>
      </c>
      <c r="L298" s="2" t="s">
        <v>18</v>
      </c>
      <c r="M298" s="2"/>
    </row>
    <row r="299" customFormat="false" ht="15" hidden="false" customHeight="false" outlineLevel="0" collapsed="false">
      <c r="A299" s="2" t="n">
        <v>298</v>
      </c>
      <c r="B299" s="2" t="s">
        <v>347</v>
      </c>
      <c r="C299" s="2" t="s">
        <v>274</v>
      </c>
      <c r="D299" s="2" t="s">
        <v>15</v>
      </c>
      <c r="E299" s="2" t="s">
        <v>44</v>
      </c>
      <c r="F299" s="3" t="n">
        <v>170</v>
      </c>
      <c r="G299" s="2" t="n">
        <v>11</v>
      </c>
      <c r="H299" s="4" t="n">
        <v>0.88</v>
      </c>
      <c r="I299" s="3" t="n">
        <f aca="false">IF(G299="","",ROUND(F299*(100-G299)/100,0))</f>
        <v>151</v>
      </c>
      <c r="J299" s="2" t="str">
        <f aca="false">IF(G299="","Needs KD",IF(D299&lt;&gt;"Client","Not a buyer",IF(AND(G299&lt;=25,F299&gt;=500),"P1 Quick Win",IF(AND(G299&lt;=35,F299&gt;=200),"P2 High Value",IF(G299&lt;=50,"P3 Build","P4 Long Term")))))</f>
        <v>P3 Build</v>
      </c>
      <c r="K299" s="2" t="s">
        <v>281</v>
      </c>
      <c r="L299" s="2" t="s">
        <v>18</v>
      </c>
      <c r="M299" s="2"/>
    </row>
    <row r="300" customFormat="false" ht="15" hidden="false" customHeight="false" outlineLevel="0" collapsed="false">
      <c r="A300" s="2" t="n">
        <v>299</v>
      </c>
      <c r="B300" s="2" t="s">
        <v>348</v>
      </c>
      <c r="C300" s="2" t="s">
        <v>274</v>
      </c>
      <c r="D300" s="2" t="s">
        <v>15</v>
      </c>
      <c r="E300" s="2" t="s">
        <v>44</v>
      </c>
      <c r="F300" s="3" t="n">
        <v>170</v>
      </c>
      <c r="G300" s="2" t="n">
        <v>12</v>
      </c>
      <c r="H300" s="4" t="n">
        <v>0.87</v>
      </c>
      <c r="I300" s="3" t="n">
        <f aca="false">IF(G300="","",ROUND(F300*(100-G300)/100,0))</f>
        <v>150</v>
      </c>
      <c r="J300" s="2" t="str">
        <f aca="false">IF(G300="","Needs KD",IF(D300&lt;&gt;"Client","Not a buyer",IF(AND(G300&lt;=25,F300&gt;=500),"P1 Quick Win",IF(AND(G300&lt;=35,F300&gt;=200),"P2 High Value",IF(G300&lt;=50,"P3 Build","P4 Long Term")))))</f>
        <v>P3 Build</v>
      </c>
      <c r="K300" s="2" t="s">
        <v>281</v>
      </c>
      <c r="L300" s="2" t="s">
        <v>18</v>
      </c>
      <c r="M300" s="2"/>
    </row>
    <row r="301" customFormat="false" ht="15" hidden="false" customHeight="false" outlineLevel="0" collapsed="false">
      <c r="A301" s="2" t="n">
        <v>300</v>
      </c>
      <c r="B301" s="2" t="s">
        <v>349</v>
      </c>
      <c r="C301" s="2" t="s">
        <v>274</v>
      </c>
      <c r="D301" s="2" t="s">
        <v>15</v>
      </c>
      <c r="E301" s="2" t="s">
        <v>44</v>
      </c>
      <c r="F301" s="3" t="n">
        <v>170</v>
      </c>
      <c r="G301" s="2" t="n">
        <v>9</v>
      </c>
      <c r="H301" s="4" t="n">
        <v>0.92</v>
      </c>
      <c r="I301" s="3" t="n">
        <f aca="false">IF(G301="","",ROUND(F301*(100-G301)/100,0))</f>
        <v>155</v>
      </c>
      <c r="J301" s="2" t="str">
        <f aca="false">IF(G301="","Needs KD",IF(D301&lt;&gt;"Client","Not a buyer",IF(AND(G301&lt;=25,F301&gt;=500),"P1 Quick Win",IF(AND(G301&lt;=35,F301&gt;=200),"P2 High Value",IF(G301&lt;=50,"P3 Build","P4 Long Term")))))</f>
        <v>P3 Build</v>
      </c>
      <c r="K301" s="2" t="s">
        <v>281</v>
      </c>
      <c r="L301" s="2" t="s">
        <v>18</v>
      </c>
      <c r="M301" s="2"/>
    </row>
    <row r="302" customFormat="false" ht="15" hidden="false" customHeight="false" outlineLevel="0" collapsed="false">
      <c r="A302" s="2" t="n">
        <v>301</v>
      </c>
      <c r="B302" s="2" t="s">
        <v>350</v>
      </c>
      <c r="C302" s="2" t="s">
        <v>274</v>
      </c>
      <c r="D302" s="2" t="s">
        <v>15</v>
      </c>
      <c r="E302" s="2" t="s">
        <v>44</v>
      </c>
      <c r="F302" s="3" t="n">
        <v>170</v>
      </c>
      <c r="G302" s="2" t="n">
        <v>9</v>
      </c>
      <c r="H302" s="4" t="n">
        <v>1.05</v>
      </c>
      <c r="I302" s="3" t="n">
        <f aca="false">IF(G302="","",ROUND(F302*(100-G302)/100,0))</f>
        <v>155</v>
      </c>
      <c r="J302" s="2" t="str">
        <f aca="false">IF(G302="","Needs KD",IF(D302&lt;&gt;"Client","Not a buyer",IF(AND(G302&lt;=25,F302&gt;=500),"P1 Quick Win",IF(AND(G302&lt;=35,F302&gt;=200),"P2 High Value",IF(G302&lt;=50,"P3 Build","P4 Long Term")))))</f>
        <v>P3 Build</v>
      </c>
      <c r="K302" s="2" t="s">
        <v>281</v>
      </c>
      <c r="L302" s="2" t="s">
        <v>18</v>
      </c>
      <c r="M302" s="2"/>
    </row>
    <row r="303" customFormat="false" ht="15" hidden="false" customHeight="false" outlineLevel="0" collapsed="false">
      <c r="A303" s="2" t="n">
        <v>302</v>
      </c>
      <c r="B303" s="2" t="s">
        <v>351</v>
      </c>
      <c r="C303" s="2" t="s">
        <v>274</v>
      </c>
      <c r="D303" s="2" t="s">
        <v>15</v>
      </c>
      <c r="E303" s="2" t="s">
        <v>44</v>
      </c>
      <c r="F303" s="3" t="n">
        <v>170</v>
      </c>
      <c r="G303" s="2" t="n">
        <v>9</v>
      </c>
      <c r="H303" s="4" t="n">
        <v>0.74</v>
      </c>
      <c r="I303" s="3" t="n">
        <f aca="false">IF(G303="","",ROUND(F303*(100-G303)/100,0))</f>
        <v>155</v>
      </c>
      <c r="J303" s="2" t="str">
        <f aca="false">IF(G303="","Needs KD",IF(D303&lt;&gt;"Client","Not a buyer",IF(AND(G303&lt;=25,F303&gt;=500),"P1 Quick Win",IF(AND(G303&lt;=35,F303&gt;=200),"P2 High Value",IF(G303&lt;=50,"P3 Build","P4 Long Term")))))</f>
        <v>P3 Build</v>
      </c>
      <c r="K303" s="2" t="s">
        <v>281</v>
      </c>
      <c r="L303" s="2" t="s">
        <v>18</v>
      </c>
      <c r="M303" s="2"/>
    </row>
    <row r="304" customFormat="false" ht="15" hidden="false" customHeight="false" outlineLevel="0" collapsed="false">
      <c r="A304" s="2" t="n">
        <v>303</v>
      </c>
      <c r="B304" s="2" t="s">
        <v>352</v>
      </c>
      <c r="C304" s="2" t="s">
        <v>274</v>
      </c>
      <c r="D304" s="2" t="s">
        <v>15</v>
      </c>
      <c r="E304" s="2" t="s">
        <v>44</v>
      </c>
      <c r="F304" s="3" t="n">
        <v>170</v>
      </c>
      <c r="G304" s="2" t="n">
        <v>9</v>
      </c>
      <c r="H304" s="4" t="n">
        <v>1.02</v>
      </c>
      <c r="I304" s="3" t="n">
        <f aca="false">IF(G304="","",ROUND(F304*(100-G304)/100,0))</f>
        <v>155</v>
      </c>
      <c r="J304" s="2" t="str">
        <f aca="false">IF(G304="","Needs KD",IF(D304&lt;&gt;"Client","Not a buyer",IF(AND(G304&lt;=25,F304&gt;=500),"P1 Quick Win",IF(AND(G304&lt;=35,F304&gt;=200),"P2 High Value",IF(G304&lt;=50,"P3 Build","P4 Long Term")))))</f>
        <v>P3 Build</v>
      </c>
      <c r="K304" s="2" t="s">
        <v>281</v>
      </c>
      <c r="L304" s="2" t="s">
        <v>18</v>
      </c>
      <c r="M304" s="2"/>
    </row>
    <row r="305" customFormat="false" ht="15" hidden="false" customHeight="false" outlineLevel="0" collapsed="false">
      <c r="A305" s="2" t="n">
        <v>304</v>
      </c>
      <c r="B305" s="2" t="s">
        <v>353</v>
      </c>
      <c r="C305" s="2" t="s">
        <v>274</v>
      </c>
      <c r="D305" s="2" t="s">
        <v>15</v>
      </c>
      <c r="E305" s="2" t="s">
        <v>44</v>
      </c>
      <c r="F305" s="3" t="n">
        <v>170</v>
      </c>
      <c r="G305" s="2" t="n">
        <v>10</v>
      </c>
      <c r="H305" s="4" t="n">
        <v>1.14</v>
      </c>
      <c r="I305" s="3" t="n">
        <f aca="false">IF(G305="","",ROUND(F305*(100-G305)/100,0))</f>
        <v>153</v>
      </c>
      <c r="J305" s="2" t="str">
        <f aca="false">IF(G305="","Needs KD",IF(D305&lt;&gt;"Client","Not a buyer",IF(AND(G305&lt;=25,F305&gt;=500),"P1 Quick Win",IF(AND(G305&lt;=35,F305&gt;=200),"P2 High Value",IF(G305&lt;=50,"P3 Build","P4 Long Term")))))</f>
        <v>P3 Build</v>
      </c>
      <c r="K305" s="2" t="s">
        <v>281</v>
      </c>
      <c r="L305" s="2" t="s">
        <v>18</v>
      </c>
      <c r="M305" s="2"/>
    </row>
    <row r="306" customFormat="false" ht="15" hidden="false" customHeight="false" outlineLevel="0" collapsed="false">
      <c r="A306" s="2" t="n">
        <v>305</v>
      </c>
      <c r="B306" s="2" t="s">
        <v>354</v>
      </c>
      <c r="C306" s="2" t="s">
        <v>274</v>
      </c>
      <c r="D306" s="2" t="s">
        <v>15</v>
      </c>
      <c r="E306" s="2" t="s">
        <v>44</v>
      </c>
      <c r="F306" s="3" t="n">
        <v>170</v>
      </c>
      <c r="G306" s="2" t="n">
        <v>12</v>
      </c>
      <c r="H306" s="4" t="n">
        <v>0.91</v>
      </c>
      <c r="I306" s="3" t="n">
        <f aca="false">IF(G306="","",ROUND(F306*(100-G306)/100,0))</f>
        <v>150</v>
      </c>
      <c r="J306" s="2" t="str">
        <f aca="false">IF(G306="","Needs KD",IF(D306&lt;&gt;"Client","Not a buyer",IF(AND(G306&lt;=25,F306&gt;=500),"P1 Quick Win",IF(AND(G306&lt;=35,F306&gt;=200),"P2 High Value",IF(G306&lt;=50,"P3 Build","P4 Long Term")))))</f>
        <v>P3 Build</v>
      </c>
      <c r="K306" s="2" t="s">
        <v>281</v>
      </c>
      <c r="L306" s="2" t="s">
        <v>18</v>
      </c>
      <c r="M306" s="2"/>
    </row>
    <row r="307" customFormat="false" ht="15" hidden="false" customHeight="false" outlineLevel="0" collapsed="false">
      <c r="A307" s="2" t="n">
        <v>306</v>
      </c>
      <c r="B307" s="2" t="s">
        <v>355</v>
      </c>
      <c r="C307" s="2" t="s">
        <v>274</v>
      </c>
      <c r="D307" s="2" t="s">
        <v>15</v>
      </c>
      <c r="E307" s="2" t="s">
        <v>20</v>
      </c>
      <c r="F307" s="3" t="n">
        <v>170</v>
      </c>
      <c r="G307" s="2" t="n">
        <v>10</v>
      </c>
      <c r="H307" s="4" t="n">
        <v>0</v>
      </c>
      <c r="I307" s="3" t="n">
        <f aca="false">IF(G307="","",ROUND(F307*(100-G307)/100,0))</f>
        <v>153</v>
      </c>
      <c r="J307" s="2" t="str">
        <f aca="false">IF(G307="","Needs KD",IF(D307&lt;&gt;"Client","Not a buyer",IF(AND(G307&lt;=25,F307&gt;=500),"P1 Quick Win",IF(AND(G307&lt;=35,F307&gt;=200),"P2 High Value",IF(G307&lt;=50,"P3 Build","P4 Long Term")))))</f>
        <v>P3 Build</v>
      </c>
      <c r="K307" s="2" t="s">
        <v>303</v>
      </c>
      <c r="L307" s="2" t="s">
        <v>18</v>
      </c>
      <c r="M307" s="2"/>
    </row>
    <row r="308" customFormat="false" ht="15" hidden="false" customHeight="false" outlineLevel="0" collapsed="false">
      <c r="A308" s="5" t="n">
        <v>307</v>
      </c>
      <c r="B308" s="5" t="s">
        <v>356</v>
      </c>
      <c r="C308" s="5" t="s">
        <v>274</v>
      </c>
      <c r="D308" s="5" t="s">
        <v>62</v>
      </c>
      <c r="E308" s="5" t="s">
        <v>20</v>
      </c>
      <c r="F308" s="6" t="n">
        <v>170</v>
      </c>
      <c r="G308" s="5" t="n">
        <v>12</v>
      </c>
      <c r="H308" s="7" t="n">
        <v>1.03</v>
      </c>
      <c r="I308" s="6" t="n">
        <f aca="false">IF(G308="","",ROUND(F308*(100-G308)/100,0))</f>
        <v>150</v>
      </c>
      <c r="J308" s="5" t="str">
        <f aca="false">IF(G308="","Needs KD",IF(D308&lt;&gt;"Client","Not a buyer",IF(AND(G308&lt;=25,F308&gt;=500),"P1 Quick Win",IF(AND(G308&lt;=35,F308&gt;=200),"P2 High Value",IF(G308&lt;=50,"P3 Build","P4 Long Term")))))</f>
        <v>Not a buyer</v>
      </c>
      <c r="K308" s="5" t="s">
        <v>284</v>
      </c>
      <c r="L308" s="5" t="s">
        <v>18</v>
      </c>
      <c r="M308" s="5"/>
    </row>
    <row r="309" customFormat="false" ht="15" hidden="false" customHeight="false" outlineLevel="0" collapsed="false">
      <c r="A309" s="5" t="n">
        <v>308</v>
      </c>
      <c r="B309" s="5" t="s">
        <v>357</v>
      </c>
      <c r="C309" s="5" t="s">
        <v>274</v>
      </c>
      <c r="D309" s="5" t="s">
        <v>62</v>
      </c>
      <c r="E309" s="5" t="s">
        <v>44</v>
      </c>
      <c r="F309" s="6" t="n">
        <v>170</v>
      </c>
      <c r="G309" s="5" t="n">
        <v>15</v>
      </c>
      <c r="H309" s="7" t="n">
        <v>0.88</v>
      </c>
      <c r="I309" s="6" t="n">
        <f aca="false">IF(G309="","",ROUND(F309*(100-G309)/100,0))</f>
        <v>145</v>
      </c>
      <c r="J309" s="5" t="str">
        <f aca="false">IF(G309="","Needs KD",IF(D309&lt;&gt;"Client","Not a buyer",IF(AND(G309&lt;=25,F309&gt;=500),"P1 Quick Win",IF(AND(G309&lt;=35,F309&gt;=200),"P2 High Value",IF(G309&lt;=50,"P3 Build","P4 Long Term")))))</f>
        <v>Not a buyer</v>
      </c>
      <c r="K309" s="5" t="s">
        <v>284</v>
      </c>
      <c r="L309" s="5" t="s">
        <v>18</v>
      </c>
      <c r="M309" s="5"/>
    </row>
    <row r="310" customFormat="false" ht="15" hidden="false" customHeight="false" outlineLevel="0" collapsed="false">
      <c r="A310" s="5" t="n">
        <v>309</v>
      </c>
      <c r="B310" s="5" t="s">
        <v>358</v>
      </c>
      <c r="C310" s="5" t="s">
        <v>274</v>
      </c>
      <c r="D310" s="5" t="s">
        <v>62</v>
      </c>
      <c r="E310" s="5" t="s">
        <v>20</v>
      </c>
      <c r="F310" s="6" t="n">
        <v>170</v>
      </c>
      <c r="G310" s="5" t="n">
        <v>15</v>
      </c>
      <c r="H310" s="7" t="n">
        <v>0.41</v>
      </c>
      <c r="I310" s="6" t="n">
        <f aca="false">IF(G310="","",ROUND(F310*(100-G310)/100,0))</f>
        <v>145</v>
      </c>
      <c r="J310" s="5" t="str">
        <f aca="false">IF(G310="","Needs KD",IF(D310&lt;&gt;"Client","Not a buyer",IF(AND(G310&lt;=25,F310&gt;=500),"P1 Quick Win",IF(AND(G310&lt;=35,F310&gt;=200),"P2 High Value",IF(G310&lt;=50,"P3 Build","P4 Long Term")))))</f>
        <v>Not a buyer</v>
      </c>
      <c r="K310" s="5" t="s">
        <v>284</v>
      </c>
      <c r="L310" s="5" t="s">
        <v>18</v>
      </c>
      <c r="M310" s="5"/>
    </row>
    <row r="311" customFormat="false" ht="15" hidden="false" customHeight="false" outlineLevel="0" collapsed="false">
      <c r="A311" s="5" t="n">
        <v>310</v>
      </c>
      <c r="B311" s="5" t="s">
        <v>359</v>
      </c>
      <c r="C311" s="5" t="s">
        <v>274</v>
      </c>
      <c r="D311" s="5" t="s">
        <v>62</v>
      </c>
      <c r="E311" s="5" t="s">
        <v>53</v>
      </c>
      <c r="F311" s="6" t="n">
        <v>170</v>
      </c>
      <c r="G311" s="5" t="n">
        <v>14</v>
      </c>
      <c r="H311" s="7" t="n">
        <v>0</v>
      </c>
      <c r="I311" s="6" t="n">
        <f aca="false">IF(G311="","",ROUND(F311*(100-G311)/100,0))</f>
        <v>146</v>
      </c>
      <c r="J311" s="5" t="str">
        <f aca="false">IF(G311="","Needs KD",IF(D311&lt;&gt;"Client","Not a buyer",IF(AND(G311&lt;=25,F311&gt;=500),"P1 Quick Win",IF(AND(G311&lt;=35,F311&gt;=200),"P2 High Value",IF(G311&lt;=50,"P3 Build","P4 Long Term")))))</f>
        <v>Not a buyer</v>
      </c>
      <c r="K311" s="5" t="s">
        <v>284</v>
      </c>
      <c r="L311" s="5" t="s">
        <v>18</v>
      </c>
      <c r="M311" s="5"/>
    </row>
    <row r="312" customFormat="false" ht="15" hidden="false" customHeight="false" outlineLevel="0" collapsed="false">
      <c r="A312" s="5" t="n">
        <v>311</v>
      </c>
      <c r="B312" s="5" t="s">
        <v>360</v>
      </c>
      <c r="C312" s="5" t="s">
        <v>274</v>
      </c>
      <c r="D312" s="5" t="s">
        <v>275</v>
      </c>
      <c r="E312" s="5" t="s">
        <v>44</v>
      </c>
      <c r="F312" s="6" t="n">
        <v>170</v>
      </c>
      <c r="G312" s="5" t="n">
        <v>10</v>
      </c>
      <c r="H312" s="7" t="n">
        <v>2.13</v>
      </c>
      <c r="I312" s="6" t="n">
        <f aca="false">IF(G312="","",ROUND(F312*(100-G312)/100,0))</f>
        <v>153</v>
      </c>
      <c r="J312" s="5" t="str">
        <f aca="false">IF(G312="","Needs KD",IF(D312&lt;&gt;"Client","Not a buyer",IF(AND(G312&lt;=25,F312&gt;=500),"P1 Quick Win",IF(AND(G312&lt;=35,F312&gt;=200),"P2 High Value",IF(G312&lt;=50,"P3 Build","P4 Long Term")))))</f>
        <v>Not a buyer</v>
      </c>
      <c r="K312" s="5" t="s">
        <v>276</v>
      </c>
      <c r="L312" s="5" t="s">
        <v>18</v>
      </c>
      <c r="M312" s="5"/>
    </row>
    <row r="313" customFormat="false" ht="15" hidden="false" customHeight="false" outlineLevel="0" collapsed="false">
      <c r="A313" s="5" t="n">
        <v>312</v>
      </c>
      <c r="B313" s="5" t="s">
        <v>361</v>
      </c>
      <c r="C313" s="5" t="s">
        <v>274</v>
      </c>
      <c r="D313" s="5" t="s">
        <v>275</v>
      </c>
      <c r="E313" s="5" t="s">
        <v>44</v>
      </c>
      <c r="F313" s="6" t="n">
        <v>170</v>
      </c>
      <c r="G313" s="5" t="n">
        <v>14</v>
      </c>
      <c r="H313" s="7" t="n">
        <v>1.32</v>
      </c>
      <c r="I313" s="6" t="n">
        <f aca="false">IF(G313="","",ROUND(F313*(100-G313)/100,0))</f>
        <v>146</v>
      </c>
      <c r="J313" s="5" t="str">
        <f aca="false">IF(G313="","Needs KD",IF(D313&lt;&gt;"Client","Not a buyer",IF(AND(G313&lt;=25,F313&gt;=500),"P1 Quick Win",IF(AND(G313&lt;=35,F313&gt;=200),"P2 High Value",IF(G313&lt;=50,"P3 Build","P4 Long Term")))))</f>
        <v>Not a buyer</v>
      </c>
      <c r="K313" s="5" t="s">
        <v>276</v>
      </c>
      <c r="L313" s="5" t="s">
        <v>18</v>
      </c>
      <c r="M313" s="5"/>
    </row>
    <row r="314" customFormat="false" ht="15" hidden="false" customHeight="false" outlineLevel="0" collapsed="false">
      <c r="A314" s="5" t="n">
        <v>313</v>
      </c>
      <c r="B314" s="5" t="s">
        <v>362</v>
      </c>
      <c r="C314" s="5" t="s">
        <v>274</v>
      </c>
      <c r="D314" s="5" t="s">
        <v>275</v>
      </c>
      <c r="E314" s="5" t="s">
        <v>44</v>
      </c>
      <c r="F314" s="6" t="n">
        <v>170</v>
      </c>
      <c r="G314" s="5" t="n">
        <v>14</v>
      </c>
      <c r="H314" s="7" t="n">
        <v>0.98</v>
      </c>
      <c r="I314" s="6" t="n">
        <f aca="false">IF(G314="","",ROUND(F314*(100-G314)/100,0))</f>
        <v>146</v>
      </c>
      <c r="J314" s="5" t="str">
        <f aca="false">IF(G314="","Needs KD",IF(D314&lt;&gt;"Client","Not a buyer",IF(AND(G314&lt;=25,F314&gt;=500),"P1 Quick Win",IF(AND(G314&lt;=35,F314&gt;=200),"P2 High Value",IF(G314&lt;=50,"P3 Build","P4 Long Term")))))</f>
        <v>Not a buyer</v>
      </c>
      <c r="K314" s="5" t="s">
        <v>276</v>
      </c>
      <c r="L314" s="5" t="s">
        <v>18</v>
      </c>
      <c r="M314" s="5"/>
    </row>
    <row r="315" customFormat="false" ht="15" hidden="false" customHeight="false" outlineLevel="0" collapsed="false">
      <c r="A315" s="5" t="n">
        <v>314</v>
      </c>
      <c r="B315" s="5" t="s">
        <v>363</v>
      </c>
      <c r="C315" s="5" t="s">
        <v>274</v>
      </c>
      <c r="D315" s="5" t="s">
        <v>275</v>
      </c>
      <c r="E315" s="5" t="s">
        <v>44</v>
      </c>
      <c r="F315" s="6" t="n">
        <v>170</v>
      </c>
      <c r="G315" s="5" t="n">
        <v>15</v>
      </c>
      <c r="H315" s="7" t="n">
        <v>0.76</v>
      </c>
      <c r="I315" s="6" t="n">
        <f aca="false">IF(G315="","",ROUND(F315*(100-G315)/100,0))</f>
        <v>145</v>
      </c>
      <c r="J315" s="5" t="str">
        <f aca="false">IF(G315="","Needs KD",IF(D315&lt;&gt;"Client","Not a buyer",IF(AND(G315&lt;=25,F315&gt;=500),"P1 Quick Win",IF(AND(G315&lt;=35,F315&gt;=200),"P2 High Value",IF(G315&lt;=50,"P3 Build","P4 Long Term")))))</f>
        <v>Not a buyer</v>
      </c>
      <c r="K315" s="5" t="s">
        <v>276</v>
      </c>
      <c r="L315" s="5" t="s">
        <v>18</v>
      </c>
      <c r="M315" s="5"/>
    </row>
    <row r="316" customFormat="false" ht="15" hidden="false" customHeight="false" outlineLevel="0" collapsed="false">
      <c r="A316" s="5" t="n">
        <v>315</v>
      </c>
      <c r="B316" s="5" t="s">
        <v>364</v>
      </c>
      <c r="C316" s="5" t="s">
        <v>274</v>
      </c>
      <c r="D316" s="5" t="s">
        <v>275</v>
      </c>
      <c r="E316" s="5" t="s">
        <v>44</v>
      </c>
      <c r="F316" s="6" t="n">
        <v>170</v>
      </c>
      <c r="G316" s="5" t="n">
        <v>13</v>
      </c>
      <c r="H316" s="7" t="n">
        <v>0.21</v>
      </c>
      <c r="I316" s="6" t="n">
        <f aca="false">IF(G316="","",ROUND(F316*(100-G316)/100,0))</f>
        <v>148</v>
      </c>
      <c r="J316" s="5" t="str">
        <f aca="false">IF(G316="","Needs KD",IF(D316&lt;&gt;"Client","Not a buyer",IF(AND(G316&lt;=25,F316&gt;=500),"P1 Quick Win",IF(AND(G316&lt;=35,F316&gt;=200),"P2 High Value",IF(G316&lt;=50,"P3 Build","P4 Long Term")))))</f>
        <v>Not a buyer</v>
      </c>
      <c r="K316" s="5" t="s">
        <v>276</v>
      </c>
      <c r="L316" s="5" t="s">
        <v>18</v>
      </c>
      <c r="M316" s="5"/>
    </row>
    <row r="317" customFormat="false" ht="15" hidden="false" customHeight="false" outlineLevel="0" collapsed="false">
      <c r="A317" s="5" t="n">
        <v>316</v>
      </c>
      <c r="B317" s="5" t="s">
        <v>365</v>
      </c>
      <c r="C317" s="5" t="s">
        <v>274</v>
      </c>
      <c r="D317" s="5" t="s">
        <v>275</v>
      </c>
      <c r="E317" s="5" t="s">
        <v>44</v>
      </c>
      <c r="F317" s="6" t="n">
        <v>170</v>
      </c>
      <c r="G317" s="5" t="n">
        <v>13</v>
      </c>
      <c r="H317" s="7" t="n">
        <v>0.65</v>
      </c>
      <c r="I317" s="6" t="n">
        <f aca="false">IF(G317="","",ROUND(F317*(100-G317)/100,0))</f>
        <v>148</v>
      </c>
      <c r="J317" s="5" t="str">
        <f aca="false">IF(G317="","Needs KD",IF(D317&lt;&gt;"Client","Not a buyer",IF(AND(G317&lt;=25,F317&gt;=500),"P1 Quick Win",IF(AND(G317&lt;=35,F317&gt;=200),"P2 High Value",IF(G317&lt;=50,"P3 Build","P4 Long Term")))))</f>
        <v>Not a buyer</v>
      </c>
      <c r="K317" s="5" t="s">
        <v>276</v>
      </c>
      <c r="L317" s="5" t="s">
        <v>18</v>
      </c>
      <c r="M317" s="5"/>
    </row>
    <row r="318" customFormat="false" ht="15" hidden="false" customHeight="false" outlineLevel="0" collapsed="false">
      <c r="A318" s="5" t="n">
        <v>317</v>
      </c>
      <c r="B318" s="5" t="s">
        <v>366</v>
      </c>
      <c r="C318" s="5" t="s">
        <v>274</v>
      </c>
      <c r="D318" s="5" t="s">
        <v>275</v>
      </c>
      <c r="E318" s="5" t="s">
        <v>44</v>
      </c>
      <c r="F318" s="6" t="n">
        <v>170</v>
      </c>
      <c r="G318" s="5" t="n">
        <v>14</v>
      </c>
      <c r="H318" s="7" t="n">
        <v>0.93</v>
      </c>
      <c r="I318" s="6" t="n">
        <f aca="false">IF(G318="","",ROUND(F318*(100-G318)/100,0))</f>
        <v>146</v>
      </c>
      <c r="J318" s="5" t="str">
        <f aca="false">IF(G318="","Needs KD",IF(D318&lt;&gt;"Client","Not a buyer",IF(AND(G318&lt;=25,F318&gt;=500),"P1 Quick Win",IF(AND(G318&lt;=35,F318&gt;=200),"P2 High Value",IF(G318&lt;=50,"P3 Build","P4 Long Term")))))</f>
        <v>Not a buyer</v>
      </c>
      <c r="K318" s="5" t="s">
        <v>276</v>
      </c>
      <c r="L318" s="5" t="s">
        <v>18</v>
      </c>
      <c r="M318" s="5"/>
    </row>
    <row r="319" customFormat="false" ht="15" hidden="false" customHeight="false" outlineLevel="0" collapsed="false">
      <c r="A319" s="5" t="n">
        <v>318</v>
      </c>
      <c r="B319" s="5" t="s">
        <v>367</v>
      </c>
      <c r="C319" s="5" t="s">
        <v>274</v>
      </c>
      <c r="D319" s="5" t="s">
        <v>275</v>
      </c>
      <c r="E319" s="5" t="s">
        <v>44</v>
      </c>
      <c r="F319" s="6" t="n">
        <v>170</v>
      </c>
      <c r="G319" s="5" t="n">
        <v>14</v>
      </c>
      <c r="H319" s="7" t="n">
        <v>1.54</v>
      </c>
      <c r="I319" s="6" t="n">
        <f aca="false">IF(G319="","",ROUND(F319*(100-G319)/100,0))</f>
        <v>146</v>
      </c>
      <c r="J319" s="5" t="str">
        <f aca="false">IF(G319="","Needs KD",IF(D319&lt;&gt;"Client","Not a buyer",IF(AND(G319&lt;=25,F319&gt;=500),"P1 Quick Win",IF(AND(G319&lt;=35,F319&gt;=200),"P2 High Value",IF(G319&lt;=50,"P3 Build","P4 Long Term")))))</f>
        <v>Not a buyer</v>
      </c>
      <c r="K319" s="5" t="s">
        <v>276</v>
      </c>
      <c r="L319" s="5" t="s">
        <v>18</v>
      </c>
      <c r="M319" s="5"/>
    </row>
    <row r="320" customFormat="false" ht="15" hidden="false" customHeight="false" outlineLevel="0" collapsed="false">
      <c r="A320" s="5" t="n">
        <v>319</v>
      </c>
      <c r="B320" s="5" t="s">
        <v>368</v>
      </c>
      <c r="C320" s="5" t="s">
        <v>274</v>
      </c>
      <c r="D320" s="5" t="s">
        <v>297</v>
      </c>
      <c r="E320" s="5" t="s">
        <v>20</v>
      </c>
      <c r="F320" s="6" t="n">
        <v>170</v>
      </c>
      <c r="G320" s="5" t="n">
        <v>14</v>
      </c>
      <c r="H320" s="7" t="n">
        <v>4.2</v>
      </c>
      <c r="I320" s="6" t="n">
        <f aca="false">IF(G320="","",ROUND(F320*(100-G320)/100,0))</f>
        <v>146</v>
      </c>
      <c r="J320" s="5" t="str">
        <f aca="false">IF(G320="","Needs KD",IF(D320&lt;&gt;"Client","Not a buyer",IF(AND(G320&lt;=25,F320&gt;=500),"P1 Quick Win",IF(AND(G320&lt;=35,F320&gt;=200),"P2 High Value",IF(G320&lt;=50,"P3 Build","P4 Long Term")))))</f>
        <v>Not a buyer</v>
      </c>
      <c r="K320" s="5" t="s">
        <v>298</v>
      </c>
      <c r="L320" s="5" t="s">
        <v>18</v>
      </c>
      <c r="M320" s="5"/>
    </row>
    <row r="321" customFormat="false" ht="15" hidden="false" customHeight="false" outlineLevel="0" collapsed="false">
      <c r="A321" s="5" t="n">
        <v>320</v>
      </c>
      <c r="B321" s="5" t="s">
        <v>369</v>
      </c>
      <c r="C321" s="5" t="s">
        <v>274</v>
      </c>
      <c r="D321" s="5" t="s">
        <v>297</v>
      </c>
      <c r="E321" s="5" t="s">
        <v>20</v>
      </c>
      <c r="F321" s="6" t="n">
        <v>170</v>
      </c>
      <c r="G321" s="5" t="n">
        <v>14</v>
      </c>
      <c r="H321" s="7" t="n">
        <v>2.63</v>
      </c>
      <c r="I321" s="6" t="n">
        <f aca="false">IF(G321="","",ROUND(F321*(100-G321)/100,0))</f>
        <v>146</v>
      </c>
      <c r="J321" s="5" t="str">
        <f aca="false">IF(G321="","Needs KD",IF(D321&lt;&gt;"Client","Not a buyer",IF(AND(G321&lt;=25,F321&gt;=500),"P1 Quick Win",IF(AND(G321&lt;=35,F321&gt;=200),"P2 High Value",IF(G321&lt;=50,"P3 Build","P4 Long Term")))))</f>
        <v>Not a buyer</v>
      </c>
      <c r="K321" s="5" t="s">
        <v>298</v>
      </c>
      <c r="L321" s="5" t="s">
        <v>18</v>
      </c>
      <c r="M321" s="5"/>
    </row>
    <row r="322" customFormat="false" ht="15" hidden="false" customHeight="false" outlineLevel="0" collapsed="false">
      <c r="A322" s="5" t="n">
        <v>321</v>
      </c>
      <c r="B322" s="5" t="s">
        <v>370</v>
      </c>
      <c r="C322" s="5" t="s">
        <v>274</v>
      </c>
      <c r="D322" s="5" t="s">
        <v>297</v>
      </c>
      <c r="E322" s="5" t="s">
        <v>20</v>
      </c>
      <c r="F322" s="6" t="n">
        <v>170</v>
      </c>
      <c r="G322" s="5" t="n">
        <v>14</v>
      </c>
      <c r="H322" s="7" t="n">
        <v>2.14</v>
      </c>
      <c r="I322" s="6" t="n">
        <f aca="false">IF(G322="","",ROUND(F322*(100-G322)/100,0))</f>
        <v>146</v>
      </c>
      <c r="J322" s="5" t="str">
        <f aca="false">IF(G322="","Needs KD",IF(D322&lt;&gt;"Client","Not a buyer",IF(AND(G322&lt;=25,F322&gt;=500),"P1 Quick Win",IF(AND(G322&lt;=35,F322&gt;=200),"P2 High Value",IF(G322&lt;=50,"P3 Build","P4 Long Term")))))</f>
        <v>Not a buyer</v>
      </c>
      <c r="K322" s="5" t="s">
        <v>298</v>
      </c>
      <c r="L322" s="5" t="s">
        <v>18</v>
      </c>
      <c r="M322" s="5"/>
    </row>
    <row r="323" customFormat="false" ht="15" hidden="false" customHeight="false" outlineLevel="0" collapsed="false">
      <c r="A323" s="5" t="n">
        <v>322</v>
      </c>
      <c r="B323" s="5" t="s">
        <v>371</v>
      </c>
      <c r="C323" s="5" t="s">
        <v>274</v>
      </c>
      <c r="D323" s="5" t="s">
        <v>297</v>
      </c>
      <c r="E323" s="5" t="s">
        <v>20</v>
      </c>
      <c r="F323" s="6" t="n">
        <v>170</v>
      </c>
      <c r="G323" s="5" t="n">
        <v>12</v>
      </c>
      <c r="H323" s="7" t="n">
        <v>2.14</v>
      </c>
      <c r="I323" s="6" t="n">
        <f aca="false">IF(G323="","",ROUND(F323*(100-G323)/100,0))</f>
        <v>150</v>
      </c>
      <c r="J323" s="5" t="str">
        <f aca="false">IF(G323="","Needs KD",IF(D323&lt;&gt;"Client","Not a buyer",IF(AND(G323&lt;=25,F323&gt;=500),"P1 Quick Win",IF(AND(G323&lt;=35,F323&gt;=200),"P2 High Value",IF(G323&lt;=50,"P3 Build","P4 Long Term")))))</f>
        <v>Not a buyer</v>
      </c>
      <c r="K323" s="5" t="s">
        <v>298</v>
      </c>
      <c r="L323" s="5" t="s">
        <v>18</v>
      </c>
      <c r="M323" s="5"/>
    </row>
    <row r="324" customFormat="false" ht="15" hidden="false" customHeight="false" outlineLevel="0" collapsed="false">
      <c r="A324" s="5" t="n">
        <v>323</v>
      </c>
      <c r="B324" s="5" t="s">
        <v>372</v>
      </c>
      <c r="C324" s="5" t="s">
        <v>274</v>
      </c>
      <c r="D324" s="5" t="s">
        <v>297</v>
      </c>
      <c r="E324" s="5" t="s">
        <v>44</v>
      </c>
      <c r="F324" s="6" t="n">
        <v>170</v>
      </c>
      <c r="G324" s="5" t="n">
        <v>11</v>
      </c>
      <c r="H324" s="7" t="n">
        <v>9.97</v>
      </c>
      <c r="I324" s="6" t="n">
        <f aca="false">IF(G324="","",ROUND(F324*(100-G324)/100,0))</f>
        <v>151</v>
      </c>
      <c r="J324" s="5" t="str">
        <f aca="false">IF(G324="","Needs KD",IF(D324&lt;&gt;"Client","Not a buyer",IF(AND(G324&lt;=25,F324&gt;=500),"P1 Quick Win",IF(AND(G324&lt;=35,F324&gt;=200),"P2 High Value",IF(G324&lt;=50,"P3 Build","P4 Long Term")))))</f>
        <v>Not a buyer</v>
      </c>
      <c r="K324" s="5" t="s">
        <v>298</v>
      </c>
      <c r="L324" s="5" t="s">
        <v>18</v>
      </c>
      <c r="M324" s="5"/>
    </row>
    <row r="325" customFormat="false" ht="15" hidden="false" customHeight="false" outlineLevel="0" collapsed="false">
      <c r="A325" s="5" t="n">
        <v>324</v>
      </c>
      <c r="B325" s="5" t="s">
        <v>373</v>
      </c>
      <c r="C325" s="5" t="s">
        <v>274</v>
      </c>
      <c r="D325" s="5" t="s">
        <v>297</v>
      </c>
      <c r="E325" s="5" t="s">
        <v>44</v>
      </c>
      <c r="F325" s="6" t="n">
        <v>170</v>
      </c>
      <c r="G325" s="5" t="n">
        <v>9</v>
      </c>
      <c r="H325" s="7" t="n">
        <v>4.33</v>
      </c>
      <c r="I325" s="6" t="n">
        <f aca="false">IF(G325="","",ROUND(F325*(100-G325)/100,0))</f>
        <v>155</v>
      </c>
      <c r="J325" s="5" t="str">
        <f aca="false">IF(G325="","Needs KD",IF(D325&lt;&gt;"Client","Not a buyer",IF(AND(G325&lt;=25,F325&gt;=500),"P1 Quick Win",IF(AND(G325&lt;=35,F325&gt;=200),"P2 High Value",IF(G325&lt;=50,"P3 Build","P4 Long Term")))))</f>
        <v>Not a buyer</v>
      </c>
      <c r="K325" s="5" t="s">
        <v>298</v>
      </c>
      <c r="L325" s="5" t="s">
        <v>18</v>
      </c>
      <c r="M325" s="5"/>
    </row>
    <row r="326" customFormat="false" ht="15" hidden="false" customHeight="false" outlineLevel="0" collapsed="false">
      <c r="A326" s="2" t="n">
        <v>325</v>
      </c>
      <c r="B326" s="2" t="s">
        <v>374</v>
      </c>
      <c r="C326" s="2" t="s">
        <v>274</v>
      </c>
      <c r="D326" s="2" t="s">
        <v>15</v>
      </c>
      <c r="E326" s="2" t="s">
        <v>44</v>
      </c>
      <c r="F326" s="3" t="n">
        <v>140</v>
      </c>
      <c r="G326" s="2" t="n">
        <v>15</v>
      </c>
      <c r="H326" s="4" t="n">
        <v>1.57</v>
      </c>
      <c r="I326" s="3" t="n">
        <f aca="false">IF(G326="","",ROUND(F326*(100-G326)/100,0))</f>
        <v>119</v>
      </c>
      <c r="J326" s="2" t="str">
        <f aca="false">IF(G326="","Needs KD",IF(D326&lt;&gt;"Client","Not a buyer",IF(AND(G326&lt;=25,F326&gt;=500),"P1 Quick Win",IF(AND(G326&lt;=35,F326&gt;=200),"P2 High Value",IF(G326&lt;=50,"P3 Build","P4 Long Term")))))</f>
        <v>P3 Build</v>
      </c>
      <c r="K326" s="2" t="s">
        <v>281</v>
      </c>
      <c r="L326" s="2" t="s">
        <v>18</v>
      </c>
      <c r="M326" s="2"/>
    </row>
    <row r="327" customFormat="false" ht="15" hidden="false" customHeight="false" outlineLevel="0" collapsed="false">
      <c r="A327" s="2" t="n">
        <v>326</v>
      </c>
      <c r="B327" s="2" t="s">
        <v>375</v>
      </c>
      <c r="C327" s="2" t="s">
        <v>274</v>
      </c>
      <c r="D327" s="2" t="s">
        <v>15</v>
      </c>
      <c r="E327" s="2" t="s">
        <v>44</v>
      </c>
      <c r="F327" s="3" t="n">
        <v>140</v>
      </c>
      <c r="G327" s="2" t="n">
        <v>15</v>
      </c>
      <c r="H327" s="4" t="n">
        <v>0.8</v>
      </c>
      <c r="I327" s="3" t="n">
        <f aca="false">IF(G327="","",ROUND(F327*(100-G327)/100,0))</f>
        <v>119</v>
      </c>
      <c r="J327" s="2" t="str">
        <f aca="false">IF(G327="","Needs KD",IF(D327&lt;&gt;"Client","Not a buyer",IF(AND(G327&lt;=25,F327&gt;=500),"P1 Quick Win",IF(AND(G327&lt;=35,F327&gt;=200),"P2 High Value",IF(G327&lt;=50,"P3 Build","P4 Long Term")))))</f>
        <v>P3 Build</v>
      </c>
      <c r="K327" s="2" t="s">
        <v>281</v>
      </c>
      <c r="L327" s="2" t="s">
        <v>18</v>
      </c>
      <c r="M327" s="2"/>
    </row>
    <row r="328" customFormat="false" ht="15" hidden="false" customHeight="false" outlineLevel="0" collapsed="false">
      <c r="A328" s="2" t="n">
        <v>327</v>
      </c>
      <c r="B328" s="2" t="s">
        <v>376</v>
      </c>
      <c r="C328" s="2" t="s">
        <v>274</v>
      </c>
      <c r="D328" s="2" t="s">
        <v>15</v>
      </c>
      <c r="E328" s="2" t="s">
        <v>44</v>
      </c>
      <c r="F328" s="3" t="n">
        <v>140</v>
      </c>
      <c r="G328" s="2" t="n">
        <v>15</v>
      </c>
      <c r="H328" s="4" t="n">
        <v>0.8</v>
      </c>
      <c r="I328" s="3" t="n">
        <f aca="false">IF(G328="","",ROUND(F328*(100-G328)/100,0))</f>
        <v>119</v>
      </c>
      <c r="J328" s="2" t="str">
        <f aca="false">IF(G328="","Needs KD",IF(D328&lt;&gt;"Client","Not a buyer",IF(AND(G328&lt;=25,F328&gt;=500),"P1 Quick Win",IF(AND(G328&lt;=35,F328&gt;=200),"P2 High Value",IF(G328&lt;=50,"P3 Build","P4 Long Term")))))</f>
        <v>P3 Build</v>
      </c>
      <c r="K328" s="2" t="s">
        <v>281</v>
      </c>
      <c r="L328" s="2" t="s">
        <v>18</v>
      </c>
      <c r="M328" s="2"/>
    </row>
    <row r="329" customFormat="false" ht="15" hidden="false" customHeight="false" outlineLevel="0" collapsed="false">
      <c r="A329" s="2" t="n">
        <v>328</v>
      </c>
      <c r="B329" s="2" t="s">
        <v>377</v>
      </c>
      <c r="C329" s="2" t="s">
        <v>274</v>
      </c>
      <c r="D329" s="2" t="s">
        <v>15</v>
      </c>
      <c r="E329" s="2" t="s">
        <v>44</v>
      </c>
      <c r="F329" s="3" t="n">
        <v>140</v>
      </c>
      <c r="G329" s="2" t="n">
        <v>13</v>
      </c>
      <c r="H329" s="4" t="n">
        <v>0.99</v>
      </c>
      <c r="I329" s="3" t="n">
        <f aca="false">IF(G329="","",ROUND(F329*(100-G329)/100,0))</f>
        <v>122</v>
      </c>
      <c r="J329" s="2" t="str">
        <f aca="false">IF(G329="","Needs KD",IF(D329&lt;&gt;"Client","Not a buyer",IF(AND(G329&lt;=25,F329&gt;=500),"P1 Quick Win",IF(AND(G329&lt;=35,F329&gt;=200),"P2 High Value",IF(G329&lt;=50,"P3 Build","P4 Long Term")))))</f>
        <v>P3 Build</v>
      </c>
      <c r="K329" s="2" t="s">
        <v>281</v>
      </c>
      <c r="L329" s="2" t="s">
        <v>18</v>
      </c>
      <c r="M329" s="2"/>
    </row>
    <row r="330" customFormat="false" ht="15" hidden="false" customHeight="false" outlineLevel="0" collapsed="false">
      <c r="A330" s="2" t="n">
        <v>329</v>
      </c>
      <c r="B330" s="2" t="s">
        <v>378</v>
      </c>
      <c r="C330" s="2" t="s">
        <v>274</v>
      </c>
      <c r="D330" s="2" t="s">
        <v>15</v>
      </c>
      <c r="E330" s="2" t="s">
        <v>44</v>
      </c>
      <c r="F330" s="3" t="n">
        <v>140</v>
      </c>
      <c r="G330" s="2" t="n">
        <v>13</v>
      </c>
      <c r="H330" s="4" t="n">
        <v>0.68</v>
      </c>
      <c r="I330" s="3" t="n">
        <f aca="false">IF(G330="","",ROUND(F330*(100-G330)/100,0))</f>
        <v>122</v>
      </c>
      <c r="J330" s="2" t="str">
        <f aca="false">IF(G330="","Needs KD",IF(D330&lt;&gt;"Client","Not a buyer",IF(AND(G330&lt;=25,F330&gt;=500),"P1 Quick Win",IF(AND(G330&lt;=35,F330&gt;=200),"P2 High Value",IF(G330&lt;=50,"P3 Build","P4 Long Term")))))</f>
        <v>P3 Build</v>
      </c>
      <c r="K330" s="2" t="s">
        <v>281</v>
      </c>
      <c r="L330" s="2" t="s">
        <v>18</v>
      </c>
      <c r="M330" s="2"/>
    </row>
    <row r="331" customFormat="false" ht="15" hidden="false" customHeight="false" outlineLevel="0" collapsed="false">
      <c r="A331" s="2" t="n">
        <v>330</v>
      </c>
      <c r="B331" s="2" t="s">
        <v>379</v>
      </c>
      <c r="C331" s="2" t="s">
        <v>274</v>
      </c>
      <c r="D331" s="2" t="s">
        <v>15</v>
      </c>
      <c r="E331" s="2" t="s">
        <v>44</v>
      </c>
      <c r="F331" s="3" t="n">
        <v>140</v>
      </c>
      <c r="G331" s="2" t="n">
        <v>13</v>
      </c>
      <c r="H331" s="4" t="n">
        <v>0.92</v>
      </c>
      <c r="I331" s="3" t="n">
        <f aca="false">IF(G331="","",ROUND(F331*(100-G331)/100,0))</f>
        <v>122</v>
      </c>
      <c r="J331" s="2" t="str">
        <f aca="false">IF(G331="","Needs KD",IF(D331&lt;&gt;"Client","Not a buyer",IF(AND(G331&lt;=25,F331&gt;=500),"P1 Quick Win",IF(AND(G331&lt;=35,F331&gt;=200),"P2 High Value",IF(G331&lt;=50,"P3 Build","P4 Long Term")))))</f>
        <v>P3 Build</v>
      </c>
      <c r="K331" s="2" t="s">
        <v>281</v>
      </c>
      <c r="L331" s="2" t="s">
        <v>18</v>
      </c>
      <c r="M331" s="2"/>
    </row>
    <row r="332" customFormat="false" ht="15" hidden="false" customHeight="false" outlineLevel="0" collapsed="false">
      <c r="A332" s="2" t="n">
        <v>331</v>
      </c>
      <c r="B332" s="2" t="s">
        <v>380</v>
      </c>
      <c r="C332" s="2" t="s">
        <v>274</v>
      </c>
      <c r="D332" s="2" t="s">
        <v>15</v>
      </c>
      <c r="E332" s="2" t="s">
        <v>44</v>
      </c>
      <c r="F332" s="3" t="n">
        <v>140</v>
      </c>
      <c r="G332" s="2" t="n">
        <v>13</v>
      </c>
      <c r="H332" s="4" t="n">
        <v>0.68</v>
      </c>
      <c r="I332" s="3" t="n">
        <f aca="false">IF(G332="","",ROUND(F332*(100-G332)/100,0))</f>
        <v>122</v>
      </c>
      <c r="J332" s="2" t="str">
        <f aca="false">IF(G332="","Needs KD",IF(D332&lt;&gt;"Client","Not a buyer",IF(AND(G332&lt;=25,F332&gt;=500),"P1 Quick Win",IF(AND(G332&lt;=35,F332&gt;=200),"P2 High Value",IF(G332&lt;=50,"P3 Build","P4 Long Term")))))</f>
        <v>P3 Build</v>
      </c>
      <c r="K332" s="2" t="s">
        <v>281</v>
      </c>
      <c r="L332" s="2" t="s">
        <v>18</v>
      </c>
      <c r="M332" s="2"/>
    </row>
    <row r="333" customFormat="false" ht="15" hidden="false" customHeight="false" outlineLevel="0" collapsed="false">
      <c r="A333" s="2" t="n">
        <v>332</v>
      </c>
      <c r="B333" s="2" t="s">
        <v>381</v>
      </c>
      <c r="C333" s="2" t="s">
        <v>274</v>
      </c>
      <c r="D333" s="2" t="s">
        <v>15</v>
      </c>
      <c r="E333" s="2" t="s">
        <v>44</v>
      </c>
      <c r="F333" s="3" t="n">
        <v>140</v>
      </c>
      <c r="G333" s="2" t="n">
        <v>12</v>
      </c>
      <c r="H333" s="4" t="n">
        <v>1.03</v>
      </c>
      <c r="I333" s="3" t="n">
        <f aca="false">IF(G333="","",ROUND(F333*(100-G333)/100,0))</f>
        <v>123</v>
      </c>
      <c r="J333" s="2" t="str">
        <f aca="false">IF(G333="","Needs KD",IF(D333&lt;&gt;"Client","Not a buyer",IF(AND(G333&lt;=25,F333&gt;=500),"P1 Quick Win",IF(AND(G333&lt;=35,F333&gt;=200),"P2 High Value",IF(G333&lt;=50,"P3 Build","P4 Long Term")))))</f>
        <v>P3 Build</v>
      </c>
      <c r="K333" s="2" t="s">
        <v>281</v>
      </c>
      <c r="L333" s="2" t="s">
        <v>18</v>
      </c>
      <c r="M333" s="2"/>
    </row>
    <row r="334" customFormat="false" ht="15" hidden="false" customHeight="false" outlineLevel="0" collapsed="false">
      <c r="A334" s="2" t="n">
        <v>333</v>
      </c>
      <c r="B334" s="2" t="s">
        <v>382</v>
      </c>
      <c r="C334" s="2" t="s">
        <v>274</v>
      </c>
      <c r="D334" s="2" t="s">
        <v>15</v>
      </c>
      <c r="E334" s="2" t="s">
        <v>44</v>
      </c>
      <c r="F334" s="3" t="n">
        <v>140</v>
      </c>
      <c r="G334" s="2" t="n">
        <v>12</v>
      </c>
      <c r="H334" s="4" t="n">
        <v>0.81</v>
      </c>
      <c r="I334" s="3" t="n">
        <f aca="false">IF(G334="","",ROUND(F334*(100-G334)/100,0))</f>
        <v>123</v>
      </c>
      <c r="J334" s="2" t="str">
        <f aca="false">IF(G334="","Needs KD",IF(D334&lt;&gt;"Client","Not a buyer",IF(AND(G334&lt;=25,F334&gt;=500),"P1 Quick Win",IF(AND(G334&lt;=35,F334&gt;=200),"P2 High Value",IF(G334&lt;=50,"P3 Build","P4 Long Term")))))</f>
        <v>P3 Build</v>
      </c>
      <c r="K334" s="2" t="s">
        <v>291</v>
      </c>
      <c r="L334" s="2" t="s">
        <v>18</v>
      </c>
      <c r="M334" s="2"/>
    </row>
    <row r="335" customFormat="false" ht="15" hidden="false" customHeight="false" outlineLevel="0" collapsed="false">
      <c r="A335" s="2" t="n">
        <v>334</v>
      </c>
      <c r="B335" s="2" t="s">
        <v>383</v>
      </c>
      <c r="C335" s="2" t="s">
        <v>274</v>
      </c>
      <c r="D335" s="2" t="s">
        <v>15</v>
      </c>
      <c r="E335" s="2" t="s">
        <v>44</v>
      </c>
      <c r="F335" s="3" t="n">
        <v>140</v>
      </c>
      <c r="G335" s="2" t="n">
        <v>9</v>
      </c>
      <c r="H335" s="4" t="n">
        <v>0.96</v>
      </c>
      <c r="I335" s="3" t="n">
        <f aca="false">IF(G335="","",ROUND(F335*(100-G335)/100,0))</f>
        <v>127</v>
      </c>
      <c r="J335" s="2" t="str">
        <f aca="false">IF(G335="","Needs KD",IF(D335&lt;&gt;"Client","Not a buyer",IF(AND(G335&lt;=25,F335&gt;=500),"P1 Quick Win",IF(AND(G335&lt;=35,F335&gt;=200),"P2 High Value",IF(G335&lt;=50,"P3 Build","P4 Long Term")))))</f>
        <v>P3 Build</v>
      </c>
      <c r="K335" s="2" t="s">
        <v>281</v>
      </c>
      <c r="L335" s="2" t="s">
        <v>18</v>
      </c>
      <c r="M335" s="2"/>
    </row>
    <row r="336" customFormat="false" ht="15" hidden="false" customHeight="false" outlineLevel="0" collapsed="false">
      <c r="A336" s="2" t="n">
        <v>335</v>
      </c>
      <c r="B336" s="2" t="s">
        <v>384</v>
      </c>
      <c r="C336" s="2" t="s">
        <v>274</v>
      </c>
      <c r="D336" s="2" t="s">
        <v>15</v>
      </c>
      <c r="E336" s="2" t="s">
        <v>44</v>
      </c>
      <c r="F336" s="3" t="n">
        <v>140</v>
      </c>
      <c r="G336" s="2" t="n">
        <v>9</v>
      </c>
      <c r="H336" s="4" t="n">
        <v>0.96</v>
      </c>
      <c r="I336" s="3" t="n">
        <f aca="false">IF(G336="","",ROUND(F336*(100-G336)/100,0))</f>
        <v>127</v>
      </c>
      <c r="J336" s="2" t="str">
        <f aca="false">IF(G336="","Needs KD",IF(D336&lt;&gt;"Client","Not a buyer",IF(AND(G336&lt;=25,F336&gt;=500),"P1 Quick Win",IF(AND(G336&lt;=35,F336&gt;=200),"P2 High Value",IF(G336&lt;=50,"P3 Build","P4 Long Term")))))</f>
        <v>P3 Build</v>
      </c>
      <c r="K336" s="2" t="s">
        <v>281</v>
      </c>
      <c r="L336" s="2" t="s">
        <v>18</v>
      </c>
      <c r="M336" s="2"/>
    </row>
    <row r="337" customFormat="false" ht="15" hidden="false" customHeight="false" outlineLevel="0" collapsed="false">
      <c r="A337" s="2" t="n">
        <v>336</v>
      </c>
      <c r="B337" s="2" t="s">
        <v>385</v>
      </c>
      <c r="C337" s="2" t="s">
        <v>274</v>
      </c>
      <c r="D337" s="2" t="s">
        <v>15</v>
      </c>
      <c r="E337" s="2" t="s">
        <v>44</v>
      </c>
      <c r="F337" s="3" t="n">
        <v>140</v>
      </c>
      <c r="G337" s="2" t="n">
        <v>11</v>
      </c>
      <c r="H337" s="4" t="n">
        <v>0.84</v>
      </c>
      <c r="I337" s="3" t="n">
        <f aca="false">IF(G337="","",ROUND(F337*(100-G337)/100,0))</f>
        <v>125</v>
      </c>
      <c r="J337" s="2" t="str">
        <f aca="false">IF(G337="","Needs KD",IF(D337&lt;&gt;"Client","Not a buyer",IF(AND(G337&lt;=25,F337&gt;=500),"P1 Quick Win",IF(AND(G337&lt;=35,F337&gt;=200),"P2 High Value",IF(G337&lt;=50,"P3 Build","P4 Long Term")))))</f>
        <v>P3 Build</v>
      </c>
      <c r="K337" s="2" t="s">
        <v>281</v>
      </c>
      <c r="L337" s="2" t="s">
        <v>18</v>
      </c>
      <c r="M337" s="2"/>
    </row>
    <row r="338" customFormat="false" ht="15" hidden="false" customHeight="false" outlineLevel="0" collapsed="false">
      <c r="A338" s="2" t="n">
        <v>337</v>
      </c>
      <c r="B338" s="2" t="s">
        <v>386</v>
      </c>
      <c r="C338" s="2" t="s">
        <v>274</v>
      </c>
      <c r="D338" s="2" t="s">
        <v>15</v>
      </c>
      <c r="E338" s="2" t="s">
        <v>20</v>
      </c>
      <c r="F338" s="3" t="n">
        <v>140</v>
      </c>
      <c r="G338" s="2" t="n">
        <v>9</v>
      </c>
      <c r="H338" s="4" t="n">
        <v>1.52</v>
      </c>
      <c r="I338" s="3" t="n">
        <f aca="false">IF(G338="","",ROUND(F338*(100-G338)/100,0))</f>
        <v>127</v>
      </c>
      <c r="J338" s="2" t="str">
        <f aca="false">IF(G338="","Needs KD",IF(D338&lt;&gt;"Client","Not a buyer",IF(AND(G338&lt;=25,F338&gt;=500),"P1 Quick Win",IF(AND(G338&lt;=35,F338&gt;=200),"P2 High Value",IF(G338&lt;=50,"P3 Build","P4 Long Term")))))</f>
        <v>P3 Build</v>
      </c>
      <c r="K338" s="2" t="s">
        <v>303</v>
      </c>
      <c r="L338" s="2" t="s">
        <v>18</v>
      </c>
      <c r="M338" s="2"/>
    </row>
    <row r="339" customFormat="false" ht="15" hidden="false" customHeight="false" outlineLevel="0" collapsed="false">
      <c r="A339" s="2" t="n">
        <v>338</v>
      </c>
      <c r="B339" s="2" t="s">
        <v>387</v>
      </c>
      <c r="C339" s="2" t="s">
        <v>274</v>
      </c>
      <c r="D339" s="2" t="s">
        <v>15</v>
      </c>
      <c r="E339" s="2" t="s">
        <v>44</v>
      </c>
      <c r="F339" s="3" t="n">
        <v>140</v>
      </c>
      <c r="G339" s="2" t="n">
        <v>14</v>
      </c>
      <c r="H339" s="4" t="n">
        <v>1.62</v>
      </c>
      <c r="I339" s="3" t="n">
        <f aca="false">IF(G339="","",ROUND(F339*(100-G339)/100,0))</f>
        <v>120</v>
      </c>
      <c r="J339" s="2" t="str">
        <f aca="false">IF(G339="","Needs KD",IF(D339&lt;&gt;"Client","Not a buyer",IF(AND(G339&lt;=25,F339&gt;=500),"P1 Quick Win",IF(AND(G339&lt;=35,F339&gt;=200),"P2 High Value",IF(G339&lt;=50,"P3 Build","P4 Long Term")))))</f>
        <v>P3 Build</v>
      </c>
      <c r="K339" s="2" t="s">
        <v>303</v>
      </c>
      <c r="L339" s="2" t="s">
        <v>18</v>
      </c>
      <c r="M339" s="2"/>
    </row>
    <row r="340" customFormat="false" ht="15" hidden="false" customHeight="false" outlineLevel="0" collapsed="false">
      <c r="A340" s="2" t="n">
        <v>339</v>
      </c>
      <c r="B340" s="2" t="s">
        <v>388</v>
      </c>
      <c r="C340" s="2" t="s">
        <v>274</v>
      </c>
      <c r="D340" s="2" t="s">
        <v>15</v>
      </c>
      <c r="E340" s="2" t="s">
        <v>44</v>
      </c>
      <c r="F340" s="3" t="n">
        <v>140</v>
      </c>
      <c r="G340" s="2" t="n">
        <v>10</v>
      </c>
      <c r="H340" s="4" t="n">
        <v>0.96</v>
      </c>
      <c r="I340" s="3" t="n">
        <f aca="false">IF(G340="","",ROUND(F340*(100-G340)/100,0))</f>
        <v>126</v>
      </c>
      <c r="J340" s="2" t="str">
        <f aca="false">IF(G340="","Needs KD",IF(D340&lt;&gt;"Client","Not a buyer",IF(AND(G340&lt;=25,F340&gt;=500),"P1 Quick Win",IF(AND(G340&lt;=35,F340&gt;=200),"P2 High Value",IF(G340&lt;=50,"P3 Build","P4 Long Term")))))</f>
        <v>P3 Build</v>
      </c>
      <c r="K340" s="2" t="s">
        <v>291</v>
      </c>
      <c r="L340" s="2" t="s">
        <v>18</v>
      </c>
      <c r="M340" s="2"/>
    </row>
    <row r="341" customFormat="false" ht="15" hidden="false" customHeight="false" outlineLevel="0" collapsed="false">
      <c r="A341" s="2" t="n">
        <v>340</v>
      </c>
      <c r="B341" s="2" t="s">
        <v>389</v>
      </c>
      <c r="C341" s="2" t="s">
        <v>274</v>
      </c>
      <c r="D341" s="2" t="s">
        <v>15</v>
      </c>
      <c r="E341" s="2" t="s">
        <v>44</v>
      </c>
      <c r="F341" s="3" t="n">
        <v>140</v>
      </c>
      <c r="G341" s="2" t="n">
        <v>15</v>
      </c>
      <c r="H341" s="4" t="n">
        <v>0.81</v>
      </c>
      <c r="I341" s="3" t="n">
        <f aca="false">IF(G341="","",ROUND(F341*(100-G341)/100,0))</f>
        <v>119</v>
      </c>
      <c r="J341" s="2" t="str">
        <f aca="false">IF(G341="","Needs KD",IF(D341&lt;&gt;"Client","Not a buyer",IF(AND(G341&lt;=25,F341&gt;=500),"P1 Quick Win",IF(AND(G341&lt;=35,F341&gt;=200),"P2 High Value",IF(G341&lt;=50,"P3 Build","P4 Long Term")))))</f>
        <v>P3 Build</v>
      </c>
      <c r="K341" s="2" t="s">
        <v>291</v>
      </c>
      <c r="L341" s="2" t="s">
        <v>18</v>
      </c>
      <c r="M341" s="2"/>
    </row>
    <row r="342" customFormat="false" ht="15" hidden="false" customHeight="false" outlineLevel="0" collapsed="false">
      <c r="A342" s="2" t="n">
        <v>341</v>
      </c>
      <c r="B342" s="2" t="s">
        <v>390</v>
      </c>
      <c r="C342" s="2" t="s">
        <v>274</v>
      </c>
      <c r="D342" s="2" t="s">
        <v>15</v>
      </c>
      <c r="E342" s="2" t="s">
        <v>34</v>
      </c>
      <c r="F342" s="3" t="n">
        <v>140</v>
      </c>
      <c r="G342" s="2" t="n">
        <v>11</v>
      </c>
      <c r="H342" s="4" t="n">
        <v>0</v>
      </c>
      <c r="I342" s="3" t="n">
        <f aca="false">IF(G342="","",ROUND(F342*(100-G342)/100,0))</f>
        <v>125</v>
      </c>
      <c r="J342" s="2" t="str">
        <f aca="false">IF(G342="","Needs KD",IF(D342&lt;&gt;"Client","Not a buyer",IF(AND(G342&lt;=25,F342&gt;=500),"P1 Quick Win",IF(AND(G342&lt;=35,F342&gt;=200),"P2 High Value",IF(G342&lt;=50,"P3 Build","P4 Long Term")))))</f>
        <v>P3 Build</v>
      </c>
      <c r="K342" s="2" t="s">
        <v>291</v>
      </c>
      <c r="L342" s="2" t="s">
        <v>18</v>
      </c>
      <c r="M342" s="2"/>
    </row>
    <row r="343" customFormat="false" ht="15" hidden="false" customHeight="false" outlineLevel="0" collapsed="false">
      <c r="A343" s="2" t="n">
        <v>342</v>
      </c>
      <c r="B343" s="2" t="s">
        <v>391</v>
      </c>
      <c r="C343" s="2" t="s">
        <v>274</v>
      </c>
      <c r="D343" s="2" t="s">
        <v>15</v>
      </c>
      <c r="E343" s="2" t="s">
        <v>20</v>
      </c>
      <c r="F343" s="3" t="n">
        <v>140</v>
      </c>
      <c r="G343" s="2" t="n">
        <v>12</v>
      </c>
      <c r="H343" s="4" t="n">
        <v>0.42</v>
      </c>
      <c r="I343" s="3" t="n">
        <f aca="false">IF(G343="","",ROUND(F343*(100-G343)/100,0))</f>
        <v>123</v>
      </c>
      <c r="J343" s="2" t="str">
        <f aca="false">IF(G343="","Needs KD",IF(D343&lt;&gt;"Client","Not a buyer",IF(AND(G343&lt;=25,F343&gt;=500),"P1 Quick Win",IF(AND(G343&lt;=35,F343&gt;=200),"P2 High Value",IF(G343&lt;=50,"P3 Build","P4 Long Term")))))</f>
        <v>P3 Build</v>
      </c>
      <c r="K343" s="2" t="s">
        <v>291</v>
      </c>
      <c r="L343" s="2" t="s">
        <v>18</v>
      </c>
      <c r="M343" s="2"/>
    </row>
    <row r="344" customFormat="false" ht="15" hidden="false" customHeight="false" outlineLevel="0" collapsed="false">
      <c r="A344" s="5" t="n">
        <v>343</v>
      </c>
      <c r="B344" s="5" t="s">
        <v>392</v>
      </c>
      <c r="C344" s="5" t="s">
        <v>274</v>
      </c>
      <c r="D344" s="5" t="s">
        <v>62</v>
      </c>
      <c r="E344" s="5" t="s">
        <v>34</v>
      </c>
      <c r="F344" s="6" t="n">
        <v>140</v>
      </c>
      <c r="G344" s="5" t="n">
        <v>14</v>
      </c>
      <c r="H344" s="7" t="n">
        <v>0.94</v>
      </c>
      <c r="I344" s="6" t="n">
        <f aca="false">IF(G344="","",ROUND(F344*(100-G344)/100,0))</f>
        <v>120</v>
      </c>
      <c r="J344" s="5" t="str">
        <f aca="false">IF(G344="","Needs KD",IF(D344&lt;&gt;"Client","Not a buyer",IF(AND(G344&lt;=25,F344&gt;=500),"P1 Quick Win",IF(AND(G344&lt;=35,F344&gt;=200),"P2 High Value",IF(G344&lt;=50,"P3 Build","P4 Long Term")))))</f>
        <v>Not a buyer</v>
      </c>
      <c r="K344" s="5" t="s">
        <v>291</v>
      </c>
      <c r="L344" s="5" t="s">
        <v>18</v>
      </c>
      <c r="M344" s="5"/>
    </row>
    <row r="345" customFormat="false" ht="15" hidden="false" customHeight="false" outlineLevel="0" collapsed="false">
      <c r="A345" s="5" t="n">
        <v>344</v>
      </c>
      <c r="B345" s="5" t="s">
        <v>393</v>
      </c>
      <c r="C345" s="5" t="s">
        <v>274</v>
      </c>
      <c r="D345" s="5" t="s">
        <v>62</v>
      </c>
      <c r="E345" s="5" t="s">
        <v>34</v>
      </c>
      <c r="F345" s="6" t="n">
        <v>140</v>
      </c>
      <c r="G345" s="5" t="n">
        <v>14</v>
      </c>
      <c r="H345" s="7" t="n">
        <v>0.69</v>
      </c>
      <c r="I345" s="6" t="n">
        <f aca="false">IF(G345="","",ROUND(F345*(100-G345)/100,0))</f>
        <v>120</v>
      </c>
      <c r="J345" s="5" t="str">
        <f aca="false">IF(G345="","Needs KD",IF(D345&lt;&gt;"Client","Not a buyer",IF(AND(G345&lt;=25,F345&gt;=500),"P1 Quick Win",IF(AND(G345&lt;=35,F345&gt;=200),"P2 High Value",IF(G345&lt;=50,"P3 Build","P4 Long Term")))))</f>
        <v>Not a buyer</v>
      </c>
      <c r="K345" s="5" t="s">
        <v>291</v>
      </c>
      <c r="L345" s="5" t="s">
        <v>18</v>
      </c>
      <c r="M345" s="5"/>
    </row>
    <row r="346" customFormat="false" ht="15" hidden="false" customHeight="false" outlineLevel="0" collapsed="false">
      <c r="A346" s="5" t="n">
        <v>345</v>
      </c>
      <c r="B346" s="5" t="s">
        <v>394</v>
      </c>
      <c r="C346" s="5" t="s">
        <v>274</v>
      </c>
      <c r="D346" s="5" t="s">
        <v>62</v>
      </c>
      <c r="E346" s="5" t="s">
        <v>44</v>
      </c>
      <c r="F346" s="6" t="n">
        <v>140</v>
      </c>
      <c r="G346" s="5" t="n">
        <v>14</v>
      </c>
      <c r="H346" s="7" t="n">
        <v>0.55</v>
      </c>
      <c r="I346" s="6" t="n">
        <f aca="false">IF(G346="","",ROUND(F346*(100-G346)/100,0))</f>
        <v>120</v>
      </c>
      <c r="J346" s="5" t="str">
        <f aca="false">IF(G346="","Needs KD",IF(D346&lt;&gt;"Client","Not a buyer",IF(AND(G346&lt;=25,F346&gt;=500),"P1 Quick Win",IF(AND(G346&lt;=35,F346&gt;=200),"P2 High Value",IF(G346&lt;=50,"P3 Build","P4 Long Term")))))</f>
        <v>Not a buyer</v>
      </c>
      <c r="K346" s="5" t="s">
        <v>284</v>
      </c>
      <c r="L346" s="5" t="s">
        <v>18</v>
      </c>
      <c r="M346" s="5"/>
    </row>
    <row r="347" customFormat="false" ht="15" hidden="false" customHeight="false" outlineLevel="0" collapsed="false">
      <c r="A347" s="5" t="n">
        <v>346</v>
      </c>
      <c r="B347" s="5" t="s">
        <v>395</v>
      </c>
      <c r="C347" s="5" t="s">
        <v>274</v>
      </c>
      <c r="D347" s="5" t="s">
        <v>62</v>
      </c>
      <c r="E347" s="5" t="s">
        <v>44</v>
      </c>
      <c r="F347" s="6" t="n">
        <v>140</v>
      </c>
      <c r="G347" s="5" t="n">
        <v>13</v>
      </c>
      <c r="H347" s="7" t="n">
        <v>0.61</v>
      </c>
      <c r="I347" s="6" t="n">
        <f aca="false">IF(G347="","",ROUND(F347*(100-G347)/100,0))</f>
        <v>122</v>
      </c>
      <c r="J347" s="5" t="str">
        <f aca="false">IF(G347="","Needs KD",IF(D347&lt;&gt;"Client","Not a buyer",IF(AND(G347&lt;=25,F347&gt;=500),"P1 Quick Win",IF(AND(G347&lt;=35,F347&gt;=200),"P2 High Value",IF(G347&lt;=50,"P3 Build","P4 Long Term")))))</f>
        <v>Not a buyer</v>
      </c>
      <c r="K347" s="5" t="s">
        <v>284</v>
      </c>
      <c r="L347" s="5" t="s">
        <v>18</v>
      </c>
      <c r="M347" s="5"/>
    </row>
    <row r="348" customFormat="false" ht="15" hidden="false" customHeight="false" outlineLevel="0" collapsed="false">
      <c r="A348" s="5" t="n">
        <v>347</v>
      </c>
      <c r="B348" s="5" t="s">
        <v>396</v>
      </c>
      <c r="C348" s="5" t="s">
        <v>274</v>
      </c>
      <c r="D348" s="5" t="s">
        <v>275</v>
      </c>
      <c r="E348" s="5" t="s">
        <v>44</v>
      </c>
      <c r="F348" s="6" t="n">
        <v>140</v>
      </c>
      <c r="G348" s="5" t="n">
        <v>15</v>
      </c>
      <c r="H348" s="7" t="n">
        <v>1.46</v>
      </c>
      <c r="I348" s="6" t="n">
        <f aca="false">IF(G348="","",ROUND(F348*(100-G348)/100,0))</f>
        <v>119</v>
      </c>
      <c r="J348" s="5" t="str">
        <f aca="false">IF(G348="","Needs KD",IF(D348&lt;&gt;"Client","Not a buyer",IF(AND(G348&lt;=25,F348&gt;=500),"P1 Quick Win",IF(AND(G348&lt;=35,F348&gt;=200),"P2 High Value",IF(G348&lt;=50,"P3 Build","P4 Long Term")))))</f>
        <v>Not a buyer</v>
      </c>
      <c r="K348" s="5" t="s">
        <v>276</v>
      </c>
      <c r="L348" s="5" t="s">
        <v>18</v>
      </c>
      <c r="M348" s="5"/>
    </row>
    <row r="349" customFormat="false" ht="15" hidden="false" customHeight="false" outlineLevel="0" collapsed="false">
      <c r="A349" s="5" t="n">
        <v>348</v>
      </c>
      <c r="B349" s="5" t="s">
        <v>397</v>
      </c>
      <c r="C349" s="5" t="s">
        <v>274</v>
      </c>
      <c r="D349" s="5" t="s">
        <v>275</v>
      </c>
      <c r="E349" s="5" t="s">
        <v>44</v>
      </c>
      <c r="F349" s="6" t="n">
        <v>140</v>
      </c>
      <c r="G349" s="5" t="n">
        <v>12</v>
      </c>
      <c r="H349" s="7" t="n">
        <v>0.53</v>
      </c>
      <c r="I349" s="6" t="n">
        <f aca="false">IF(G349="","",ROUND(F349*(100-G349)/100,0))</f>
        <v>123</v>
      </c>
      <c r="J349" s="5" t="str">
        <f aca="false">IF(G349="","Needs KD",IF(D349&lt;&gt;"Client","Not a buyer",IF(AND(G349&lt;=25,F349&gt;=500),"P1 Quick Win",IF(AND(G349&lt;=35,F349&gt;=200),"P2 High Value",IF(G349&lt;=50,"P3 Build","P4 Long Term")))))</f>
        <v>Not a buyer</v>
      </c>
      <c r="K349" s="5" t="s">
        <v>276</v>
      </c>
      <c r="L349" s="5" t="s">
        <v>18</v>
      </c>
      <c r="M349" s="5"/>
    </row>
    <row r="350" customFormat="false" ht="15" hidden="false" customHeight="false" outlineLevel="0" collapsed="false">
      <c r="A350" s="5" t="n">
        <v>349</v>
      </c>
      <c r="B350" s="5" t="s">
        <v>398</v>
      </c>
      <c r="C350" s="5" t="s">
        <v>274</v>
      </c>
      <c r="D350" s="5" t="s">
        <v>275</v>
      </c>
      <c r="E350" s="5" t="s">
        <v>44</v>
      </c>
      <c r="F350" s="6" t="n">
        <v>140</v>
      </c>
      <c r="G350" s="5" t="n">
        <v>14</v>
      </c>
      <c r="H350" s="7" t="n">
        <v>0.94</v>
      </c>
      <c r="I350" s="6" t="n">
        <f aca="false">IF(G350="","",ROUND(F350*(100-G350)/100,0))</f>
        <v>120</v>
      </c>
      <c r="J350" s="5" t="str">
        <f aca="false">IF(G350="","Needs KD",IF(D350&lt;&gt;"Client","Not a buyer",IF(AND(G350&lt;=25,F350&gt;=500),"P1 Quick Win",IF(AND(G350&lt;=35,F350&gt;=200),"P2 High Value",IF(G350&lt;=50,"P3 Build","P4 Long Term")))))</f>
        <v>Not a buyer</v>
      </c>
      <c r="K350" s="5" t="s">
        <v>276</v>
      </c>
      <c r="L350" s="5" t="s">
        <v>18</v>
      </c>
      <c r="M350" s="5"/>
    </row>
    <row r="351" customFormat="false" ht="15" hidden="false" customHeight="false" outlineLevel="0" collapsed="false">
      <c r="A351" s="5" t="n">
        <v>350</v>
      </c>
      <c r="B351" s="5" t="s">
        <v>399</v>
      </c>
      <c r="C351" s="5" t="s">
        <v>274</v>
      </c>
      <c r="D351" s="5" t="s">
        <v>297</v>
      </c>
      <c r="E351" s="5" t="s">
        <v>20</v>
      </c>
      <c r="F351" s="6" t="n">
        <v>140</v>
      </c>
      <c r="G351" s="5" t="n">
        <v>12</v>
      </c>
      <c r="H351" s="7" t="n">
        <v>4.2</v>
      </c>
      <c r="I351" s="6" t="n">
        <f aca="false">IF(G351="","",ROUND(F351*(100-G351)/100,0))</f>
        <v>123</v>
      </c>
      <c r="J351" s="5" t="str">
        <f aca="false">IF(G351="","Needs KD",IF(D351&lt;&gt;"Client","Not a buyer",IF(AND(G351&lt;=25,F351&gt;=500),"P1 Quick Win",IF(AND(G351&lt;=35,F351&gt;=200),"P2 High Value",IF(G351&lt;=50,"P3 Build","P4 Long Term")))))</f>
        <v>Not a buyer</v>
      </c>
      <c r="K351" s="5" t="s">
        <v>298</v>
      </c>
      <c r="L351" s="5" t="s">
        <v>18</v>
      </c>
      <c r="M351" s="5"/>
    </row>
    <row r="352" customFormat="false" ht="15" hidden="false" customHeight="false" outlineLevel="0" collapsed="false">
      <c r="A352" s="5" t="n">
        <v>351</v>
      </c>
      <c r="B352" s="5" t="s">
        <v>400</v>
      </c>
      <c r="C352" s="5" t="s">
        <v>274</v>
      </c>
      <c r="D352" s="5" t="s">
        <v>297</v>
      </c>
      <c r="E352" s="5" t="s">
        <v>44</v>
      </c>
      <c r="F352" s="6" t="n">
        <v>140</v>
      </c>
      <c r="G352" s="5" t="n">
        <v>11</v>
      </c>
      <c r="H352" s="7" t="n">
        <v>7.22</v>
      </c>
      <c r="I352" s="6" t="n">
        <f aca="false">IF(G352="","",ROUND(F352*(100-G352)/100,0))</f>
        <v>125</v>
      </c>
      <c r="J352" s="5" t="str">
        <f aca="false">IF(G352="","Needs KD",IF(D352&lt;&gt;"Client","Not a buyer",IF(AND(G352&lt;=25,F352&gt;=500),"P1 Quick Win",IF(AND(G352&lt;=35,F352&gt;=200),"P2 High Value",IF(G352&lt;=50,"P3 Build","P4 Long Term")))))</f>
        <v>Not a buyer</v>
      </c>
      <c r="K352" s="5" t="s">
        <v>298</v>
      </c>
      <c r="L352" s="5" t="s">
        <v>18</v>
      </c>
      <c r="M352" s="5"/>
    </row>
    <row r="353" customFormat="false" ht="15" hidden="false" customHeight="false" outlineLevel="0" collapsed="false">
      <c r="A353" s="5" t="n">
        <v>352</v>
      </c>
      <c r="B353" s="5" t="s">
        <v>401</v>
      </c>
      <c r="C353" s="5" t="s">
        <v>274</v>
      </c>
      <c r="D353" s="5" t="s">
        <v>297</v>
      </c>
      <c r="E353" s="5" t="s">
        <v>44</v>
      </c>
      <c r="F353" s="6" t="n">
        <v>140</v>
      </c>
      <c r="G353" s="5" t="n">
        <v>11</v>
      </c>
      <c r="H353" s="7" t="n">
        <v>4.84</v>
      </c>
      <c r="I353" s="6" t="n">
        <f aca="false">IF(G353="","",ROUND(F353*(100-G353)/100,0))</f>
        <v>125</v>
      </c>
      <c r="J353" s="5" t="str">
        <f aca="false">IF(G353="","Needs KD",IF(D353&lt;&gt;"Client","Not a buyer",IF(AND(G353&lt;=25,F353&gt;=500),"P1 Quick Win",IF(AND(G353&lt;=35,F353&gt;=200),"P2 High Value",IF(G353&lt;=50,"P3 Build","P4 Long Term")))))</f>
        <v>Not a buyer</v>
      </c>
      <c r="K353" s="5" t="s">
        <v>298</v>
      </c>
      <c r="L353" s="5" t="s">
        <v>18</v>
      </c>
      <c r="M353" s="5"/>
    </row>
    <row r="354" customFormat="false" ht="15" hidden="false" customHeight="false" outlineLevel="0" collapsed="false">
      <c r="A354" s="5" t="n">
        <v>353</v>
      </c>
      <c r="B354" s="5" t="s">
        <v>402</v>
      </c>
      <c r="C354" s="5" t="s">
        <v>274</v>
      </c>
      <c r="D354" s="5" t="s">
        <v>297</v>
      </c>
      <c r="E354" s="5" t="s">
        <v>44</v>
      </c>
      <c r="F354" s="6" t="n">
        <v>140</v>
      </c>
      <c r="G354" s="5" t="n">
        <v>11</v>
      </c>
      <c r="H354" s="7" t="n">
        <v>6.38</v>
      </c>
      <c r="I354" s="6" t="n">
        <f aca="false">IF(G354="","",ROUND(F354*(100-G354)/100,0))</f>
        <v>125</v>
      </c>
      <c r="J354" s="5" t="str">
        <f aca="false">IF(G354="","Needs KD",IF(D354&lt;&gt;"Client","Not a buyer",IF(AND(G354&lt;=25,F354&gt;=500),"P1 Quick Win",IF(AND(G354&lt;=35,F354&gt;=200),"P2 High Value",IF(G354&lt;=50,"P3 Build","P4 Long Term")))))</f>
        <v>Not a buyer</v>
      </c>
      <c r="K354" s="5" t="s">
        <v>298</v>
      </c>
      <c r="L354" s="5" t="s">
        <v>18</v>
      </c>
      <c r="M354" s="5"/>
    </row>
    <row r="355" customFormat="false" ht="15" hidden="false" customHeight="false" outlineLevel="0" collapsed="false">
      <c r="A355" s="5" t="n">
        <v>354</v>
      </c>
      <c r="B355" s="5" t="s">
        <v>403</v>
      </c>
      <c r="C355" s="5" t="s">
        <v>274</v>
      </c>
      <c r="D355" s="5" t="s">
        <v>297</v>
      </c>
      <c r="E355" s="5" t="s">
        <v>20</v>
      </c>
      <c r="F355" s="6" t="n">
        <v>140</v>
      </c>
      <c r="G355" s="5" t="n">
        <v>11</v>
      </c>
      <c r="H355" s="7" t="n">
        <v>7.32</v>
      </c>
      <c r="I355" s="6" t="n">
        <f aca="false">IF(G355="","",ROUND(F355*(100-G355)/100,0))</f>
        <v>125</v>
      </c>
      <c r="J355" s="5" t="str">
        <f aca="false">IF(G355="","Needs KD",IF(D355&lt;&gt;"Client","Not a buyer",IF(AND(G355&lt;=25,F355&gt;=500),"P1 Quick Win",IF(AND(G355&lt;=35,F355&gt;=200),"P2 High Value",IF(G355&lt;=50,"P3 Build","P4 Long Term")))))</f>
        <v>Not a buyer</v>
      </c>
      <c r="K355" s="5" t="s">
        <v>298</v>
      </c>
      <c r="L355" s="5" t="s">
        <v>18</v>
      </c>
      <c r="M355" s="5"/>
    </row>
    <row r="356" customFormat="false" ht="15" hidden="false" customHeight="false" outlineLevel="0" collapsed="false">
      <c r="A356" s="5" t="n">
        <v>355</v>
      </c>
      <c r="B356" s="5" t="s">
        <v>404</v>
      </c>
      <c r="C356" s="5" t="s">
        <v>274</v>
      </c>
      <c r="D356" s="5" t="s">
        <v>297</v>
      </c>
      <c r="E356" s="5" t="s">
        <v>20</v>
      </c>
      <c r="F356" s="6" t="n">
        <v>140</v>
      </c>
      <c r="G356" s="5" t="n">
        <v>11</v>
      </c>
      <c r="H356" s="7" t="n">
        <v>8.34</v>
      </c>
      <c r="I356" s="6" t="n">
        <f aca="false">IF(G356="","",ROUND(F356*(100-G356)/100,0))</f>
        <v>125</v>
      </c>
      <c r="J356" s="5" t="str">
        <f aca="false">IF(G356="","Needs KD",IF(D356&lt;&gt;"Client","Not a buyer",IF(AND(G356&lt;=25,F356&gt;=500),"P1 Quick Win",IF(AND(G356&lt;=35,F356&gt;=200),"P2 High Value",IF(G356&lt;=50,"P3 Build","P4 Long Term")))))</f>
        <v>Not a buyer</v>
      </c>
      <c r="K356" s="5" t="s">
        <v>298</v>
      </c>
      <c r="L356" s="5" t="s">
        <v>18</v>
      </c>
      <c r="M356" s="5"/>
    </row>
    <row r="357" customFormat="false" ht="15" hidden="false" customHeight="false" outlineLevel="0" collapsed="false">
      <c r="A357" s="5" t="n">
        <v>356</v>
      </c>
      <c r="B357" s="5" t="s">
        <v>405</v>
      </c>
      <c r="C357" s="5" t="s">
        <v>274</v>
      </c>
      <c r="D357" s="5" t="s">
        <v>297</v>
      </c>
      <c r="E357" s="5" t="s">
        <v>20</v>
      </c>
      <c r="F357" s="6" t="n">
        <v>140</v>
      </c>
      <c r="G357" s="5" t="n">
        <v>11</v>
      </c>
      <c r="H357" s="7" t="n">
        <v>6.38</v>
      </c>
      <c r="I357" s="6" t="n">
        <f aca="false">IF(G357="","",ROUND(F357*(100-G357)/100,0))</f>
        <v>125</v>
      </c>
      <c r="J357" s="5" t="str">
        <f aca="false">IF(G357="","Needs KD",IF(D357&lt;&gt;"Client","Not a buyer",IF(AND(G357&lt;=25,F357&gt;=500),"P1 Quick Win",IF(AND(G357&lt;=35,F357&gt;=200),"P2 High Value",IF(G357&lt;=50,"P3 Build","P4 Long Term")))))</f>
        <v>Not a buyer</v>
      </c>
      <c r="K357" s="5" t="s">
        <v>298</v>
      </c>
      <c r="L357" s="5" t="s">
        <v>18</v>
      </c>
      <c r="M357" s="5"/>
    </row>
    <row r="358" customFormat="false" ht="15" hidden="false" customHeight="false" outlineLevel="0" collapsed="false">
      <c r="A358" s="5" t="n">
        <v>357</v>
      </c>
      <c r="B358" s="5" t="s">
        <v>406</v>
      </c>
      <c r="C358" s="5" t="s">
        <v>274</v>
      </c>
      <c r="D358" s="5" t="s">
        <v>297</v>
      </c>
      <c r="E358" s="5" t="s">
        <v>44</v>
      </c>
      <c r="F358" s="6" t="n">
        <v>140</v>
      </c>
      <c r="G358" s="5" t="n">
        <v>10</v>
      </c>
      <c r="H358" s="7" t="n">
        <v>10.04</v>
      </c>
      <c r="I358" s="6" t="n">
        <f aca="false">IF(G358="","",ROUND(F358*(100-G358)/100,0))</f>
        <v>126</v>
      </c>
      <c r="J358" s="5" t="str">
        <f aca="false">IF(G358="","Needs KD",IF(D358&lt;&gt;"Client","Not a buyer",IF(AND(G358&lt;=25,F358&gt;=500),"P1 Quick Win",IF(AND(G358&lt;=35,F358&gt;=200),"P2 High Value",IF(G358&lt;=50,"P3 Build","P4 Long Term")))))</f>
        <v>Not a buyer</v>
      </c>
      <c r="K358" s="5" t="s">
        <v>298</v>
      </c>
      <c r="L358" s="5" t="s">
        <v>18</v>
      </c>
      <c r="M358" s="5"/>
    </row>
    <row r="359" customFormat="false" ht="15" hidden="false" customHeight="false" outlineLevel="0" collapsed="false">
      <c r="A359" s="5" t="n">
        <v>358</v>
      </c>
      <c r="B359" s="5" t="s">
        <v>407</v>
      </c>
      <c r="C359" s="5" t="s">
        <v>274</v>
      </c>
      <c r="D359" s="5" t="s">
        <v>297</v>
      </c>
      <c r="E359" s="5" t="s">
        <v>44</v>
      </c>
      <c r="F359" s="6" t="n">
        <v>140</v>
      </c>
      <c r="G359" s="5" t="n">
        <v>10</v>
      </c>
      <c r="H359" s="7" t="n">
        <v>8.55</v>
      </c>
      <c r="I359" s="6" t="n">
        <f aca="false">IF(G359="","",ROUND(F359*(100-G359)/100,0))</f>
        <v>126</v>
      </c>
      <c r="J359" s="5" t="str">
        <f aca="false">IF(G359="","Needs KD",IF(D359&lt;&gt;"Client","Not a buyer",IF(AND(G359&lt;=25,F359&gt;=500),"P1 Quick Win",IF(AND(G359&lt;=35,F359&gt;=200),"P2 High Value",IF(G359&lt;=50,"P3 Build","P4 Long Term")))))</f>
        <v>Not a buyer</v>
      </c>
      <c r="K359" s="5" t="s">
        <v>298</v>
      </c>
      <c r="L359" s="5" t="s">
        <v>18</v>
      </c>
      <c r="M359" s="5"/>
    </row>
    <row r="360" customFormat="false" ht="15" hidden="false" customHeight="false" outlineLevel="0" collapsed="false">
      <c r="A360" s="5" t="n">
        <v>359</v>
      </c>
      <c r="B360" s="5" t="s">
        <v>408</v>
      </c>
      <c r="C360" s="5" t="s">
        <v>274</v>
      </c>
      <c r="D360" s="5" t="s">
        <v>297</v>
      </c>
      <c r="E360" s="5" t="s">
        <v>20</v>
      </c>
      <c r="F360" s="6" t="n">
        <v>140</v>
      </c>
      <c r="G360" s="5" t="n">
        <v>10</v>
      </c>
      <c r="H360" s="7" t="n">
        <v>8.15</v>
      </c>
      <c r="I360" s="6" t="n">
        <f aca="false">IF(G360="","",ROUND(F360*(100-G360)/100,0))</f>
        <v>126</v>
      </c>
      <c r="J360" s="5" t="str">
        <f aca="false">IF(G360="","Needs KD",IF(D360&lt;&gt;"Client","Not a buyer",IF(AND(G360&lt;=25,F360&gt;=500),"P1 Quick Win",IF(AND(G360&lt;=35,F360&gt;=200),"P2 High Value",IF(G360&lt;=50,"P3 Build","P4 Long Term")))))</f>
        <v>Not a buyer</v>
      </c>
      <c r="K360" s="5" t="s">
        <v>298</v>
      </c>
      <c r="L360" s="5" t="s">
        <v>18</v>
      </c>
      <c r="M360" s="5"/>
    </row>
    <row r="361" customFormat="false" ht="15" hidden="false" customHeight="false" outlineLevel="0" collapsed="false">
      <c r="A361" s="5" t="n">
        <v>360</v>
      </c>
      <c r="B361" s="5" t="s">
        <v>409</v>
      </c>
      <c r="C361" s="5" t="s">
        <v>274</v>
      </c>
      <c r="D361" s="5" t="s">
        <v>297</v>
      </c>
      <c r="E361" s="5" t="s">
        <v>20</v>
      </c>
      <c r="F361" s="6" t="n">
        <v>140</v>
      </c>
      <c r="G361" s="5" t="n">
        <v>10</v>
      </c>
      <c r="H361" s="7" t="n">
        <v>7.89</v>
      </c>
      <c r="I361" s="6" t="n">
        <f aca="false">IF(G361="","",ROUND(F361*(100-G361)/100,0))</f>
        <v>126</v>
      </c>
      <c r="J361" s="5" t="str">
        <f aca="false">IF(G361="","Needs KD",IF(D361&lt;&gt;"Client","Not a buyer",IF(AND(G361&lt;=25,F361&gt;=500),"P1 Quick Win",IF(AND(G361&lt;=35,F361&gt;=200),"P2 High Value",IF(G361&lt;=50,"P3 Build","P4 Long Term")))))</f>
        <v>Not a buyer</v>
      </c>
      <c r="K361" s="5" t="s">
        <v>298</v>
      </c>
      <c r="L361" s="5" t="s">
        <v>18</v>
      </c>
      <c r="M361" s="5"/>
    </row>
    <row r="362" customFormat="false" ht="15" hidden="false" customHeight="false" outlineLevel="0" collapsed="false">
      <c r="A362" s="5" t="n">
        <v>361</v>
      </c>
      <c r="B362" s="5" t="s">
        <v>410</v>
      </c>
      <c r="C362" s="5" t="s">
        <v>274</v>
      </c>
      <c r="D362" s="5" t="s">
        <v>297</v>
      </c>
      <c r="E362" s="5" t="s">
        <v>44</v>
      </c>
      <c r="F362" s="6" t="n">
        <v>140</v>
      </c>
      <c r="G362" s="5" t="n">
        <v>9</v>
      </c>
      <c r="H362" s="7" t="n">
        <v>3.03</v>
      </c>
      <c r="I362" s="6" t="n">
        <f aca="false">IF(G362="","",ROUND(F362*(100-G362)/100,0))</f>
        <v>127</v>
      </c>
      <c r="J362" s="5" t="str">
        <f aca="false">IF(G362="","Needs KD",IF(D362&lt;&gt;"Client","Not a buyer",IF(AND(G362&lt;=25,F362&gt;=500),"P1 Quick Win",IF(AND(G362&lt;=35,F362&gt;=200),"P2 High Value",IF(G362&lt;=50,"P3 Build","P4 Long Term")))))</f>
        <v>Not a buyer</v>
      </c>
      <c r="K362" s="5" t="s">
        <v>298</v>
      </c>
      <c r="L362" s="5" t="s">
        <v>18</v>
      </c>
      <c r="M362" s="5"/>
    </row>
    <row r="363" customFormat="false" ht="15" hidden="false" customHeight="false" outlineLevel="0" collapsed="false">
      <c r="A363" s="5" t="n">
        <v>362</v>
      </c>
      <c r="B363" s="5" t="s">
        <v>411</v>
      </c>
      <c r="C363" s="5" t="s">
        <v>274</v>
      </c>
      <c r="D363" s="5" t="s">
        <v>297</v>
      </c>
      <c r="E363" s="5" t="s">
        <v>16</v>
      </c>
      <c r="F363" s="6" t="n">
        <v>140</v>
      </c>
      <c r="G363" s="5" t="n">
        <v>13</v>
      </c>
      <c r="H363" s="7" t="n">
        <v>2.5</v>
      </c>
      <c r="I363" s="6" t="n">
        <f aca="false">IF(G363="","",ROUND(F363*(100-G363)/100,0))</f>
        <v>122</v>
      </c>
      <c r="J363" s="5" t="str">
        <f aca="false">IF(G363="","Needs KD",IF(D363&lt;&gt;"Client","Not a buyer",IF(AND(G363&lt;=25,F363&gt;=500),"P1 Quick Win",IF(AND(G363&lt;=35,F363&gt;=200),"P2 High Value",IF(G363&lt;=50,"P3 Build","P4 Long Term")))))</f>
        <v>Not a buyer</v>
      </c>
      <c r="K363" s="5" t="s">
        <v>298</v>
      </c>
      <c r="L363" s="5" t="s">
        <v>18</v>
      </c>
      <c r="M363" s="5"/>
    </row>
    <row r="364" customFormat="false" ht="15" hidden="false" customHeight="false" outlineLevel="0" collapsed="false">
      <c r="A364" s="2" t="n">
        <v>363</v>
      </c>
      <c r="B364" s="2" t="s">
        <v>412</v>
      </c>
      <c r="C364" s="2" t="s">
        <v>274</v>
      </c>
      <c r="D364" s="2" t="s">
        <v>15</v>
      </c>
      <c r="E364" s="2" t="s">
        <v>44</v>
      </c>
      <c r="F364" s="3" t="n">
        <v>110</v>
      </c>
      <c r="G364" s="2" t="n">
        <v>12</v>
      </c>
      <c r="H364" s="4" t="n">
        <v>1.69</v>
      </c>
      <c r="I364" s="3" t="n">
        <f aca="false">IF(G364="","",ROUND(F364*(100-G364)/100,0))</f>
        <v>97</v>
      </c>
      <c r="J364" s="2" t="str">
        <f aca="false">IF(G364="","Needs KD",IF(D364&lt;&gt;"Client","Not a buyer",IF(AND(G364&lt;=25,F364&gt;=500),"P1 Quick Win",IF(AND(G364&lt;=35,F364&gt;=200),"P2 High Value",IF(G364&lt;=50,"P3 Build","P4 Long Term")))))</f>
        <v>P3 Build</v>
      </c>
      <c r="K364" s="2" t="s">
        <v>281</v>
      </c>
      <c r="L364" s="2" t="s">
        <v>18</v>
      </c>
      <c r="M364" s="2"/>
    </row>
    <row r="365" customFormat="false" ht="15" hidden="false" customHeight="false" outlineLevel="0" collapsed="false">
      <c r="A365" s="2" t="n">
        <v>364</v>
      </c>
      <c r="B365" s="2" t="s">
        <v>413</v>
      </c>
      <c r="C365" s="2" t="s">
        <v>274</v>
      </c>
      <c r="D365" s="2" t="s">
        <v>15</v>
      </c>
      <c r="E365" s="2" t="s">
        <v>44</v>
      </c>
      <c r="F365" s="3" t="n">
        <v>110</v>
      </c>
      <c r="G365" s="2" t="n">
        <v>11</v>
      </c>
      <c r="H365" s="4" t="n">
        <v>0.99</v>
      </c>
      <c r="I365" s="3" t="n">
        <f aca="false">IF(G365="","",ROUND(F365*(100-G365)/100,0))</f>
        <v>98</v>
      </c>
      <c r="J365" s="2" t="str">
        <f aca="false">IF(G365="","Needs KD",IF(D365&lt;&gt;"Client","Not a buyer",IF(AND(G365&lt;=25,F365&gt;=500),"P1 Quick Win",IF(AND(G365&lt;=35,F365&gt;=200),"P2 High Value",IF(G365&lt;=50,"P3 Build","P4 Long Term")))))</f>
        <v>P3 Build</v>
      </c>
      <c r="K365" s="2" t="s">
        <v>281</v>
      </c>
      <c r="L365" s="2" t="s">
        <v>18</v>
      </c>
      <c r="M365" s="2"/>
    </row>
    <row r="366" customFormat="false" ht="15" hidden="false" customHeight="false" outlineLevel="0" collapsed="false">
      <c r="A366" s="2" t="n">
        <v>365</v>
      </c>
      <c r="B366" s="2" t="s">
        <v>414</v>
      </c>
      <c r="C366" s="2" t="s">
        <v>274</v>
      </c>
      <c r="D366" s="2" t="s">
        <v>15</v>
      </c>
      <c r="E366" s="2" t="s">
        <v>44</v>
      </c>
      <c r="F366" s="3" t="n">
        <v>110</v>
      </c>
      <c r="G366" s="2" t="n">
        <v>15</v>
      </c>
      <c r="H366" s="4" t="n">
        <v>0.98</v>
      </c>
      <c r="I366" s="3" t="n">
        <f aca="false">IF(G366="","",ROUND(F366*(100-G366)/100,0))</f>
        <v>94</v>
      </c>
      <c r="J366" s="2" t="str">
        <f aca="false">IF(G366="","Needs KD",IF(D366&lt;&gt;"Client","Not a buyer",IF(AND(G366&lt;=25,F366&gt;=500),"P1 Quick Win",IF(AND(G366&lt;=35,F366&gt;=200),"P2 High Value",IF(G366&lt;=50,"P3 Build","P4 Long Term")))))</f>
        <v>P3 Build</v>
      </c>
      <c r="K366" s="2" t="s">
        <v>281</v>
      </c>
      <c r="L366" s="2" t="s">
        <v>18</v>
      </c>
      <c r="M366" s="2"/>
    </row>
    <row r="367" customFormat="false" ht="15" hidden="false" customHeight="false" outlineLevel="0" collapsed="false">
      <c r="A367" s="2" t="n">
        <v>366</v>
      </c>
      <c r="B367" s="2" t="s">
        <v>415</v>
      </c>
      <c r="C367" s="2" t="s">
        <v>274</v>
      </c>
      <c r="D367" s="2" t="s">
        <v>15</v>
      </c>
      <c r="E367" s="2" t="s">
        <v>44</v>
      </c>
      <c r="F367" s="3" t="n">
        <v>110</v>
      </c>
      <c r="G367" s="2" t="n">
        <v>11</v>
      </c>
      <c r="H367" s="4" t="n">
        <v>0.95</v>
      </c>
      <c r="I367" s="3" t="n">
        <f aca="false">IF(G367="","",ROUND(F367*(100-G367)/100,0))</f>
        <v>98</v>
      </c>
      <c r="J367" s="2" t="str">
        <f aca="false">IF(G367="","Needs KD",IF(D367&lt;&gt;"Client","Not a buyer",IF(AND(G367&lt;=25,F367&gt;=500),"P1 Quick Win",IF(AND(G367&lt;=35,F367&gt;=200),"P2 High Value",IF(G367&lt;=50,"P3 Build","P4 Long Term")))))</f>
        <v>P3 Build</v>
      </c>
      <c r="K367" s="2" t="s">
        <v>281</v>
      </c>
      <c r="L367" s="2" t="s">
        <v>18</v>
      </c>
      <c r="M367" s="2"/>
    </row>
    <row r="368" customFormat="false" ht="15" hidden="false" customHeight="false" outlineLevel="0" collapsed="false">
      <c r="A368" s="2" t="n">
        <v>367</v>
      </c>
      <c r="B368" s="2" t="s">
        <v>416</v>
      </c>
      <c r="C368" s="2" t="s">
        <v>274</v>
      </c>
      <c r="D368" s="2" t="s">
        <v>15</v>
      </c>
      <c r="E368" s="2" t="s">
        <v>44</v>
      </c>
      <c r="F368" s="3" t="n">
        <v>110</v>
      </c>
      <c r="G368" s="2" t="n">
        <v>12</v>
      </c>
      <c r="H368" s="4" t="n">
        <v>0.78</v>
      </c>
      <c r="I368" s="3" t="n">
        <f aca="false">IF(G368="","",ROUND(F368*(100-G368)/100,0))</f>
        <v>97</v>
      </c>
      <c r="J368" s="2" t="str">
        <f aca="false">IF(G368="","Needs KD",IF(D368&lt;&gt;"Client","Not a buyer",IF(AND(G368&lt;=25,F368&gt;=500),"P1 Quick Win",IF(AND(G368&lt;=35,F368&gt;=200),"P2 High Value",IF(G368&lt;=50,"P3 Build","P4 Long Term")))))</f>
        <v>P3 Build</v>
      </c>
      <c r="K368" s="2" t="s">
        <v>281</v>
      </c>
      <c r="L368" s="2" t="s">
        <v>18</v>
      </c>
      <c r="M368" s="2"/>
    </row>
    <row r="369" customFormat="false" ht="15" hidden="false" customHeight="false" outlineLevel="0" collapsed="false">
      <c r="A369" s="2" t="n">
        <v>368</v>
      </c>
      <c r="B369" s="2" t="s">
        <v>417</v>
      </c>
      <c r="C369" s="2" t="s">
        <v>274</v>
      </c>
      <c r="D369" s="2" t="s">
        <v>15</v>
      </c>
      <c r="E369" s="2" t="s">
        <v>44</v>
      </c>
      <c r="F369" s="3" t="n">
        <v>110</v>
      </c>
      <c r="G369" s="2" t="n">
        <v>12</v>
      </c>
      <c r="H369" s="4" t="n">
        <v>0.86</v>
      </c>
      <c r="I369" s="3" t="n">
        <f aca="false">IF(G369="","",ROUND(F369*(100-G369)/100,0))</f>
        <v>97</v>
      </c>
      <c r="J369" s="2" t="str">
        <f aca="false">IF(G369="","Needs KD",IF(D369&lt;&gt;"Client","Not a buyer",IF(AND(G369&lt;=25,F369&gt;=500),"P1 Quick Win",IF(AND(G369&lt;=35,F369&gt;=200),"P2 High Value",IF(G369&lt;=50,"P3 Build","P4 Long Term")))))</f>
        <v>P3 Build</v>
      </c>
      <c r="K369" s="2" t="s">
        <v>281</v>
      </c>
      <c r="L369" s="2" t="s">
        <v>18</v>
      </c>
      <c r="M369" s="2"/>
    </row>
    <row r="370" customFormat="false" ht="15" hidden="false" customHeight="false" outlineLevel="0" collapsed="false">
      <c r="A370" s="2" t="n">
        <v>369</v>
      </c>
      <c r="B370" s="2" t="s">
        <v>418</v>
      </c>
      <c r="C370" s="2" t="s">
        <v>274</v>
      </c>
      <c r="D370" s="2" t="s">
        <v>15</v>
      </c>
      <c r="E370" s="2" t="s">
        <v>44</v>
      </c>
      <c r="F370" s="3" t="n">
        <v>110</v>
      </c>
      <c r="G370" s="2" t="n">
        <v>14</v>
      </c>
      <c r="H370" s="4" t="n">
        <v>0.8</v>
      </c>
      <c r="I370" s="3" t="n">
        <f aca="false">IF(G370="","",ROUND(F370*(100-G370)/100,0))</f>
        <v>95</v>
      </c>
      <c r="J370" s="2" t="str">
        <f aca="false">IF(G370="","Needs KD",IF(D370&lt;&gt;"Client","Not a buyer",IF(AND(G370&lt;=25,F370&gt;=500),"P1 Quick Win",IF(AND(G370&lt;=35,F370&gt;=200),"P2 High Value",IF(G370&lt;=50,"P3 Build","P4 Long Term")))))</f>
        <v>P3 Build</v>
      </c>
      <c r="K370" s="2" t="s">
        <v>281</v>
      </c>
      <c r="L370" s="2" t="s">
        <v>18</v>
      </c>
      <c r="M370" s="2"/>
    </row>
    <row r="371" customFormat="false" ht="15" hidden="false" customHeight="false" outlineLevel="0" collapsed="false">
      <c r="A371" s="2" t="n">
        <v>370</v>
      </c>
      <c r="B371" s="2" t="s">
        <v>419</v>
      </c>
      <c r="C371" s="2" t="s">
        <v>274</v>
      </c>
      <c r="D371" s="2" t="s">
        <v>15</v>
      </c>
      <c r="E371" s="2" t="s">
        <v>44</v>
      </c>
      <c r="F371" s="3" t="n">
        <v>110</v>
      </c>
      <c r="G371" s="2" t="n">
        <v>10</v>
      </c>
      <c r="H371" s="4" t="n">
        <v>0.93</v>
      </c>
      <c r="I371" s="3" t="n">
        <f aca="false">IF(G371="","",ROUND(F371*(100-G371)/100,0))</f>
        <v>99</v>
      </c>
      <c r="J371" s="2" t="str">
        <f aca="false">IF(G371="","Needs KD",IF(D371&lt;&gt;"Client","Not a buyer",IF(AND(G371&lt;=25,F371&gt;=500),"P1 Quick Win",IF(AND(G371&lt;=35,F371&gt;=200),"P2 High Value",IF(G371&lt;=50,"P3 Build","P4 Long Term")))))</f>
        <v>P3 Build</v>
      </c>
      <c r="K371" s="2" t="s">
        <v>281</v>
      </c>
      <c r="L371" s="2" t="s">
        <v>18</v>
      </c>
      <c r="M371" s="2"/>
    </row>
    <row r="372" customFormat="false" ht="15" hidden="false" customHeight="false" outlineLevel="0" collapsed="false">
      <c r="A372" s="2" t="n">
        <v>371</v>
      </c>
      <c r="B372" s="2" t="s">
        <v>420</v>
      </c>
      <c r="C372" s="2" t="s">
        <v>274</v>
      </c>
      <c r="D372" s="2" t="s">
        <v>15</v>
      </c>
      <c r="E372" s="2" t="s">
        <v>44</v>
      </c>
      <c r="F372" s="3" t="n">
        <v>110</v>
      </c>
      <c r="G372" s="2" t="n">
        <v>10</v>
      </c>
      <c r="H372" s="4" t="n">
        <v>1.13</v>
      </c>
      <c r="I372" s="3" t="n">
        <f aca="false">IF(G372="","",ROUND(F372*(100-G372)/100,0))</f>
        <v>99</v>
      </c>
      <c r="J372" s="2" t="str">
        <f aca="false">IF(G372="","Needs KD",IF(D372&lt;&gt;"Client","Not a buyer",IF(AND(G372&lt;=25,F372&gt;=500),"P1 Quick Win",IF(AND(G372&lt;=35,F372&gt;=200),"P2 High Value",IF(G372&lt;=50,"P3 Build","P4 Long Term")))))</f>
        <v>P3 Build</v>
      </c>
      <c r="K372" s="2" t="s">
        <v>281</v>
      </c>
      <c r="L372" s="2" t="s">
        <v>18</v>
      </c>
      <c r="M372" s="2"/>
    </row>
    <row r="373" customFormat="false" ht="15" hidden="false" customHeight="false" outlineLevel="0" collapsed="false">
      <c r="A373" s="2" t="n">
        <v>372</v>
      </c>
      <c r="B373" s="2" t="s">
        <v>421</v>
      </c>
      <c r="C373" s="2" t="s">
        <v>274</v>
      </c>
      <c r="D373" s="2" t="s">
        <v>15</v>
      </c>
      <c r="E373" s="2" t="s">
        <v>44</v>
      </c>
      <c r="F373" s="3" t="n">
        <v>110</v>
      </c>
      <c r="G373" s="2" t="n">
        <v>9</v>
      </c>
      <c r="H373" s="4" t="n">
        <v>0.79</v>
      </c>
      <c r="I373" s="3" t="n">
        <f aca="false">IF(G373="","",ROUND(F373*(100-G373)/100,0))</f>
        <v>100</v>
      </c>
      <c r="J373" s="2" t="str">
        <f aca="false">IF(G373="","Needs KD",IF(D373&lt;&gt;"Client","Not a buyer",IF(AND(G373&lt;=25,F373&gt;=500),"P1 Quick Win",IF(AND(G373&lt;=35,F373&gt;=200),"P2 High Value",IF(G373&lt;=50,"P3 Build","P4 Long Term")))))</f>
        <v>P3 Build</v>
      </c>
      <c r="K373" s="2" t="s">
        <v>281</v>
      </c>
      <c r="L373" s="2" t="s">
        <v>18</v>
      </c>
      <c r="M373" s="2"/>
    </row>
    <row r="374" customFormat="false" ht="15" hidden="false" customHeight="false" outlineLevel="0" collapsed="false">
      <c r="A374" s="2" t="n">
        <v>373</v>
      </c>
      <c r="B374" s="2" t="s">
        <v>422</v>
      </c>
      <c r="C374" s="2" t="s">
        <v>274</v>
      </c>
      <c r="D374" s="2" t="s">
        <v>15</v>
      </c>
      <c r="E374" s="2" t="s">
        <v>20</v>
      </c>
      <c r="F374" s="3" t="n">
        <v>110</v>
      </c>
      <c r="G374" s="2" t="n">
        <v>12</v>
      </c>
      <c r="H374" s="4" t="n">
        <v>0.5</v>
      </c>
      <c r="I374" s="3" t="n">
        <f aca="false">IF(G374="","",ROUND(F374*(100-G374)/100,0))</f>
        <v>97</v>
      </c>
      <c r="J374" s="2" t="str">
        <f aca="false">IF(G374="","Needs KD",IF(D374&lt;&gt;"Client","Not a buyer",IF(AND(G374&lt;=25,F374&gt;=500),"P1 Quick Win",IF(AND(G374&lt;=35,F374&gt;=200),"P2 High Value",IF(G374&lt;=50,"P3 Build","P4 Long Term")))))</f>
        <v>P3 Build</v>
      </c>
      <c r="K374" s="2" t="s">
        <v>281</v>
      </c>
      <c r="L374" s="2" t="s">
        <v>18</v>
      </c>
      <c r="M374" s="2"/>
    </row>
    <row r="375" customFormat="false" ht="15" hidden="false" customHeight="false" outlineLevel="0" collapsed="false">
      <c r="A375" s="2" t="n">
        <v>374</v>
      </c>
      <c r="B375" s="2" t="s">
        <v>423</v>
      </c>
      <c r="C375" s="2" t="s">
        <v>274</v>
      </c>
      <c r="D375" s="2" t="s">
        <v>15</v>
      </c>
      <c r="E375" s="2" t="s">
        <v>44</v>
      </c>
      <c r="F375" s="3" t="n">
        <v>110</v>
      </c>
      <c r="G375" s="2" t="n">
        <v>13</v>
      </c>
      <c r="H375" s="4" t="n">
        <v>0.96</v>
      </c>
      <c r="I375" s="3" t="n">
        <f aca="false">IF(G375="","",ROUND(F375*(100-G375)/100,0))</f>
        <v>96</v>
      </c>
      <c r="J375" s="2" t="str">
        <f aca="false">IF(G375="","Needs KD",IF(D375&lt;&gt;"Client","Not a buyer",IF(AND(G375&lt;=25,F375&gt;=500),"P1 Quick Win",IF(AND(G375&lt;=35,F375&gt;=200),"P2 High Value",IF(G375&lt;=50,"P3 Build","P4 Long Term")))))</f>
        <v>P3 Build</v>
      </c>
      <c r="K375" s="2" t="s">
        <v>281</v>
      </c>
      <c r="L375" s="2" t="s">
        <v>18</v>
      </c>
      <c r="M375" s="2"/>
    </row>
    <row r="376" customFormat="false" ht="15" hidden="false" customHeight="false" outlineLevel="0" collapsed="false">
      <c r="A376" s="2" t="n">
        <v>375</v>
      </c>
      <c r="B376" s="2" t="s">
        <v>424</v>
      </c>
      <c r="C376" s="2" t="s">
        <v>274</v>
      </c>
      <c r="D376" s="2" t="s">
        <v>15</v>
      </c>
      <c r="E376" s="2" t="s">
        <v>44</v>
      </c>
      <c r="F376" s="3" t="n">
        <v>110</v>
      </c>
      <c r="G376" s="2" t="n">
        <v>14</v>
      </c>
      <c r="H376" s="4" t="n">
        <v>3.07</v>
      </c>
      <c r="I376" s="3" t="n">
        <f aca="false">IF(G376="","",ROUND(F376*(100-G376)/100,0))</f>
        <v>95</v>
      </c>
      <c r="J376" s="2" t="str">
        <f aca="false">IF(G376="","Needs KD",IF(D376&lt;&gt;"Client","Not a buyer",IF(AND(G376&lt;=25,F376&gt;=500),"P1 Quick Win",IF(AND(G376&lt;=35,F376&gt;=200),"P2 High Value",IF(G376&lt;=50,"P3 Build","P4 Long Term")))))</f>
        <v>P3 Build</v>
      </c>
      <c r="K376" s="2" t="s">
        <v>303</v>
      </c>
      <c r="L376" s="2" t="s">
        <v>18</v>
      </c>
      <c r="M376" s="2"/>
    </row>
    <row r="377" customFormat="false" ht="15" hidden="false" customHeight="false" outlineLevel="0" collapsed="false">
      <c r="A377" s="2" t="n">
        <v>376</v>
      </c>
      <c r="B377" s="2" t="s">
        <v>425</v>
      </c>
      <c r="C377" s="2" t="s">
        <v>274</v>
      </c>
      <c r="D377" s="2" t="s">
        <v>15</v>
      </c>
      <c r="E377" s="2" t="s">
        <v>34</v>
      </c>
      <c r="F377" s="3" t="n">
        <v>110</v>
      </c>
      <c r="G377" s="2" t="n">
        <v>12</v>
      </c>
      <c r="H377" s="4" t="n">
        <v>1.81</v>
      </c>
      <c r="I377" s="3" t="n">
        <f aca="false">IF(G377="","",ROUND(F377*(100-G377)/100,0))</f>
        <v>97</v>
      </c>
      <c r="J377" s="2" t="str">
        <f aca="false">IF(G377="","Needs KD",IF(D377&lt;&gt;"Client","Not a buyer",IF(AND(G377&lt;=25,F377&gt;=500),"P1 Quick Win",IF(AND(G377&lt;=35,F377&gt;=200),"P2 High Value",IF(G377&lt;=50,"P3 Build","P4 Long Term")))))</f>
        <v>P3 Build</v>
      </c>
      <c r="K377" s="2" t="s">
        <v>303</v>
      </c>
      <c r="L377" s="2" t="s">
        <v>18</v>
      </c>
      <c r="M377" s="2"/>
    </row>
    <row r="378" customFormat="false" ht="15" hidden="false" customHeight="false" outlineLevel="0" collapsed="false">
      <c r="A378" s="2" t="n">
        <v>377</v>
      </c>
      <c r="B378" s="2" t="s">
        <v>426</v>
      </c>
      <c r="C378" s="2" t="s">
        <v>274</v>
      </c>
      <c r="D378" s="2" t="s">
        <v>15</v>
      </c>
      <c r="E378" s="2" t="s">
        <v>44</v>
      </c>
      <c r="F378" s="3" t="n">
        <v>110</v>
      </c>
      <c r="G378" s="2" t="n">
        <v>10</v>
      </c>
      <c r="H378" s="4" t="n">
        <v>3.09</v>
      </c>
      <c r="I378" s="3" t="n">
        <f aca="false">IF(G378="","",ROUND(F378*(100-G378)/100,0))</f>
        <v>99</v>
      </c>
      <c r="J378" s="2" t="str">
        <f aca="false">IF(G378="","Needs KD",IF(D378&lt;&gt;"Client","Not a buyer",IF(AND(G378&lt;=25,F378&gt;=500),"P1 Quick Win",IF(AND(G378&lt;=35,F378&gt;=200),"P2 High Value",IF(G378&lt;=50,"P3 Build","P4 Long Term")))))</f>
        <v>P3 Build</v>
      </c>
      <c r="K378" s="2" t="s">
        <v>291</v>
      </c>
      <c r="L378" s="2" t="s">
        <v>18</v>
      </c>
      <c r="M378" s="2"/>
    </row>
    <row r="379" customFormat="false" ht="15" hidden="false" customHeight="false" outlineLevel="0" collapsed="false">
      <c r="A379" s="2" t="n">
        <v>378</v>
      </c>
      <c r="B379" s="2" t="s">
        <v>427</v>
      </c>
      <c r="C379" s="2" t="s">
        <v>274</v>
      </c>
      <c r="D379" s="2" t="s">
        <v>15</v>
      </c>
      <c r="E379" s="2" t="s">
        <v>44</v>
      </c>
      <c r="F379" s="3" t="n">
        <v>110</v>
      </c>
      <c r="G379" s="2" t="n">
        <v>10</v>
      </c>
      <c r="H379" s="4" t="n">
        <v>1.88</v>
      </c>
      <c r="I379" s="3" t="n">
        <f aca="false">IF(G379="","",ROUND(F379*(100-G379)/100,0))</f>
        <v>99</v>
      </c>
      <c r="J379" s="2" t="str">
        <f aca="false">IF(G379="","Needs KD",IF(D379&lt;&gt;"Client","Not a buyer",IF(AND(G379&lt;=25,F379&gt;=500),"P1 Quick Win",IF(AND(G379&lt;=35,F379&gt;=200),"P2 High Value",IF(G379&lt;=50,"P3 Build","P4 Long Term")))))</f>
        <v>P3 Build</v>
      </c>
      <c r="K379" s="2" t="s">
        <v>291</v>
      </c>
      <c r="L379" s="2" t="s">
        <v>18</v>
      </c>
      <c r="M379" s="2"/>
    </row>
    <row r="380" customFormat="false" ht="15" hidden="false" customHeight="false" outlineLevel="0" collapsed="false">
      <c r="A380" s="2" t="n">
        <v>379</v>
      </c>
      <c r="B380" s="2" t="s">
        <v>428</v>
      </c>
      <c r="C380" s="2" t="s">
        <v>274</v>
      </c>
      <c r="D380" s="2" t="s">
        <v>15</v>
      </c>
      <c r="E380" s="2" t="s">
        <v>44</v>
      </c>
      <c r="F380" s="3" t="n">
        <v>110</v>
      </c>
      <c r="G380" s="2" t="n">
        <v>12</v>
      </c>
      <c r="H380" s="4" t="n">
        <v>1.88</v>
      </c>
      <c r="I380" s="3" t="n">
        <f aca="false">IF(G380="","",ROUND(F380*(100-G380)/100,0))</f>
        <v>97</v>
      </c>
      <c r="J380" s="2" t="str">
        <f aca="false">IF(G380="","Needs KD",IF(D380&lt;&gt;"Client","Not a buyer",IF(AND(G380&lt;=25,F380&gt;=500),"P1 Quick Win",IF(AND(G380&lt;=35,F380&gt;=200),"P2 High Value",IF(G380&lt;=50,"P3 Build","P4 Long Term")))))</f>
        <v>P3 Build</v>
      </c>
      <c r="K380" s="2" t="s">
        <v>291</v>
      </c>
      <c r="L380" s="2" t="s">
        <v>18</v>
      </c>
      <c r="M380" s="2"/>
    </row>
    <row r="381" customFormat="false" ht="15" hidden="false" customHeight="false" outlineLevel="0" collapsed="false">
      <c r="A381" s="2" t="n">
        <v>380</v>
      </c>
      <c r="B381" s="2" t="s">
        <v>429</v>
      </c>
      <c r="C381" s="2" t="s">
        <v>274</v>
      </c>
      <c r="D381" s="2" t="s">
        <v>15</v>
      </c>
      <c r="E381" s="2" t="s">
        <v>44</v>
      </c>
      <c r="F381" s="3" t="n">
        <v>110</v>
      </c>
      <c r="G381" s="2" t="n">
        <v>9</v>
      </c>
      <c r="H381" s="4" t="n">
        <v>0.96</v>
      </c>
      <c r="I381" s="3" t="n">
        <f aca="false">IF(G381="","",ROUND(F381*(100-G381)/100,0))</f>
        <v>100</v>
      </c>
      <c r="J381" s="2" t="str">
        <f aca="false">IF(G381="","Needs KD",IF(D381&lt;&gt;"Client","Not a buyer",IF(AND(G381&lt;=25,F381&gt;=500),"P1 Quick Win",IF(AND(G381&lt;=35,F381&gt;=200),"P2 High Value",IF(G381&lt;=50,"P3 Build","P4 Long Term")))))</f>
        <v>P3 Build</v>
      </c>
      <c r="K381" s="2" t="s">
        <v>291</v>
      </c>
      <c r="L381" s="2" t="s">
        <v>18</v>
      </c>
      <c r="M381" s="2"/>
    </row>
    <row r="382" customFormat="false" ht="15" hidden="false" customHeight="false" outlineLevel="0" collapsed="false">
      <c r="A382" s="2" t="n">
        <v>381</v>
      </c>
      <c r="B382" s="2" t="s">
        <v>430</v>
      </c>
      <c r="C382" s="2" t="s">
        <v>274</v>
      </c>
      <c r="D382" s="2" t="s">
        <v>15</v>
      </c>
      <c r="E382" s="2" t="s">
        <v>20</v>
      </c>
      <c r="F382" s="3" t="n">
        <v>110</v>
      </c>
      <c r="G382" s="2" t="n">
        <v>14</v>
      </c>
      <c r="H382" s="4" t="n">
        <v>0.81</v>
      </c>
      <c r="I382" s="3" t="n">
        <f aca="false">IF(G382="","",ROUND(F382*(100-G382)/100,0))</f>
        <v>95</v>
      </c>
      <c r="J382" s="2" t="str">
        <f aca="false">IF(G382="","Needs KD",IF(D382&lt;&gt;"Client","Not a buyer",IF(AND(G382&lt;=25,F382&gt;=500),"P1 Quick Win",IF(AND(G382&lt;=35,F382&gt;=200),"P2 High Value",IF(G382&lt;=50,"P3 Build","P4 Long Term")))))</f>
        <v>P3 Build</v>
      </c>
      <c r="K382" s="2" t="s">
        <v>291</v>
      </c>
      <c r="L382" s="2" t="s">
        <v>18</v>
      </c>
      <c r="M382" s="2"/>
    </row>
    <row r="383" customFormat="false" ht="15" hidden="false" customHeight="false" outlineLevel="0" collapsed="false">
      <c r="A383" s="5" t="n">
        <v>382</v>
      </c>
      <c r="B383" s="5" t="s">
        <v>431</v>
      </c>
      <c r="C383" s="5" t="s">
        <v>274</v>
      </c>
      <c r="D383" s="5" t="s">
        <v>62</v>
      </c>
      <c r="E383" s="5" t="s">
        <v>20</v>
      </c>
      <c r="F383" s="6" t="n">
        <v>110</v>
      </c>
      <c r="G383" s="5" t="n">
        <v>10</v>
      </c>
      <c r="H383" s="7" t="n">
        <v>0</v>
      </c>
      <c r="I383" s="6" t="n">
        <f aca="false">IF(G383="","",ROUND(F383*(100-G383)/100,0))</f>
        <v>99</v>
      </c>
      <c r="J383" s="5" t="str">
        <f aca="false">IF(G383="","Needs KD",IF(D383&lt;&gt;"Client","Not a buyer",IF(AND(G383&lt;=25,F383&gt;=500),"P1 Quick Win",IF(AND(G383&lt;=35,F383&gt;=200),"P2 High Value",IF(G383&lt;=50,"P3 Build","P4 Long Term")))))</f>
        <v>Not a buyer</v>
      </c>
      <c r="K383" s="5" t="s">
        <v>284</v>
      </c>
      <c r="L383" s="5" t="s">
        <v>18</v>
      </c>
      <c r="M383" s="5"/>
    </row>
    <row r="384" customFormat="false" ht="15" hidden="false" customHeight="false" outlineLevel="0" collapsed="false">
      <c r="A384" s="5" t="n">
        <v>383</v>
      </c>
      <c r="B384" s="5" t="s">
        <v>432</v>
      </c>
      <c r="C384" s="5" t="s">
        <v>274</v>
      </c>
      <c r="D384" s="5" t="s">
        <v>62</v>
      </c>
      <c r="E384" s="5" t="s">
        <v>44</v>
      </c>
      <c r="F384" s="6" t="n">
        <v>110</v>
      </c>
      <c r="G384" s="5" t="n">
        <v>14</v>
      </c>
      <c r="H384" s="7" t="n">
        <v>0.52</v>
      </c>
      <c r="I384" s="6" t="n">
        <f aca="false">IF(G384="","",ROUND(F384*(100-G384)/100,0))</f>
        <v>95</v>
      </c>
      <c r="J384" s="5" t="str">
        <f aca="false">IF(G384="","Needs KD",IF(D384&lt;&gt;"Client","Not a buyer",IF(AND(G384&lt;=25,F384&gt;=500),"P1 Quick Win",IF(AND(G384&lt;=35,F384&gt;=200),"P2 High Value",IF(G384&lt;=50,"P3 Build","P4 Long Term")))))</f>
        <v>Not a buyer</v>
      </c>
      <c r="K384" s="5" t="s">
        <v>284</v>
      </c>
      <c r="L384" s="5" t="s">
        <v>18</v>
      </c>
      <c r="M384" s="5"/>
    </row>
    <row r="385" customFormat="false" ht="15" hidden="false" customHeight="false" outlineLevel="0" collapsed="false">
      <c r="A385" s="5" t="n">
        <v>384</v>
      </c>
      <c r="B385" s="5" t="s">
        <v>433</v>
      </c>
      <c r="C385" s="5" t="s">
        <v>274</v>
      </c>
      <c r="D385" s="5" t="s">
        <v>275</v>
      </c>
      <c r="E385" s="5" t="s">
        <v>20</v>
      </c>
      <c r="F385" s="6" t="n">
        <v>110</v>
      </c>
      <c r="G385" s="5" t="n">
        <v>12</v>
      </c>
      <c r="H385" s="7" t="n">
        <v>2.75</v>
      </c>
      <c r="I385" s="6" t="n">
        <f aca="false">IF(G385="","",ROUND(F385*(100-G385)/100,0))</f>
        <v>97</v>
      </c>
      <c r="J385" s="5" t="str">
        <f aca="false">IF(G385="","Needs KD",IF(D385&lt;&gt;"Client","Not a buyer",IF(AND(G385&lt;=25,F385&gt;=500),"P1 Quick Win",IF(AND(G385&lt;=35,F385&gt;=200),"P2 High Value",IF(G385&lt;=50,"P3 Build","P4 Long Term")))))</f>
        <v>Not a buyer</v>
      </c>
      <c r="K385" s="5" t="s">
        <v>284</v>
      </c>
      <c r="L385" s="5" t="s">
        <v>18</v>
      </c>
      <c r="M385" s="5"/>
    </row>
    <row r="386" customFormat="false" ht="15" hidden="false" customHeight="false" outlineLevel="0" collapsed="false">
      <c r="A386" s="5" t="n">
        <v>385</v>
      </c>
      <c r="B386" s="5" t="s">
        <v>434</v>
      </c>
      <c r="C386" s="5" t="s">
        <v>274</v>
      </c>
      <c r="D386" s="5" t="s">
        <v>275</v>
      </c>
      <c r="E386" s="5" t="s">
        <v>44</v>
      </c>
      <c r="F386" s="6" t="n">
        <v>110</v>
      </c>
      <c r="G386" s="5" t="n">
        <v>14</v>
      </c>
      <c r="H386" s="7" t="n">
        <v>0.28</v>
      </c>
      <c r="I386" s="6" t="n">
        <f aca="false">IF(G386="","",ROUND(F386*(100-G386)/100,0))</f>
        <v>95</v>
      </c>
      <c r="J386" s="5" t="str">
        <f aca="false">IF(G386="","Needs KD",IF(D386&lt;&gt;"Client","Not a buyer",IF(AND(G386&lt;=25,F386&gt;=500),"P1 Quick Win",IF(AND(G386&lt;=35,F386&gt;=200),"P2 High Value",IF(G386&lt;=50,"P3 Build","P4 Long Term")))))</f>
        <v>Not a buyer</v>
      </c>
      <c r="K386" s="5" t="s">
        <v>276</v>
      </c>
      <c r="L386" s="5" t="s">
        <v>18</v>
      </c>
      <c r="M386" s="5"/>
    </row>
    <row r="387" customFormat="false" ht="15" hidden="false" customHeight="false" outlineLevel="0" collapsed="false">
      <c r="A387" s="5" t="n">
        <v>386</v>
      </c>
      <c r="B387" s="5" t="s">
        <v>435</v>
      </c>
      <c r="C387" s="5" t="s">
        <v>274</v>
      </c>
      <c r="D387" s="5" t="s">
        <v>275</v>
      </c>
      <c r="E387" s="5" t="s">
        <v>44</v>
      </c>
      <c r="F387" s="6" t="n">
        <v>110</v>
      </c>
      <c r="G387" s="5" t="n">
        <v>14</v>
      </c>
      <c r="H387" s="7" t="n">
        <v>0.14</v>
      </c>
      <c r="I387" s="6" t="n">
        <f aca="false">IF(G387="","",ROUND(F387*(100-G387)/100,0))</f>
        <v>95</v>
      </c>
      <c r="J387" s="5" t="str">
        <f aca="false">IF(G387="","Needs KD",IF(D387&lt;&gt;"Client","Not a buyer",IF(AND(G387&lt;=25,F387&gt;=500),"P1 Quick Win",IF(AND(G387&lt;=35,F387&gt;=200),"P2 High Value",IF(G387&lt;=50,"P3 Build","P4 Long Term")))))</f>
        <v>Not a buyer</v>
      </c>
      <c r="K387" s="5" t="s">
        <v>276</v>
      </c>
      <c r="L387" s="5" t="s">
        <v>18</v>
      </c>
      <c r="M387" s="5"/>
    </row>
    <row r="388" customFormat="false" ht="15" hidden="false" customHeight="false" outlineLevel="0" collapsed="false">
      <c r="A388" s="5" t="n">
        <v>387</v>
      </c>
      <c r="B388" s="5" t="s">
        <v>436</v>
      </c>
      <c r="C388" s="5" t="s">
        <v>274</v>
      </c>
      <c r="D388" s="5" t="s">
        <v>275</v>
      </c>
      <c r="E388" s="5" t="s">
        <v>44</v>
      </c>
      <c r="F388" s="6" t="n">
        <v>110</v>
      </c>
      <c r="G388" s="5" t="n">
        <v>13</v>
      </c>
      <c r="H388" s="7" t="n">
        <v>1.05</v>
      </c>
      <c r="I388" s="6" t="n">
        <f aca="false">IF(G388="","",ROUND(F388*(100-G388)/100,0))</f>
        <v>96</v>
      </c>
      <c r="J388" s="5" t="str">
        <f aca="false">IF(G388="","Needs KD",IF(D388&lt;&gt;"Client","Not a buyer",IF(AND(G388&lt;=25,F388&gt;=500),"P1 Quick Win",IF(AND(G388&lt;=35,F388&gt;=200),"P2 High Value",IF(G388&lt;=50,"P3 Build","P4 Long Term")))))</f>
        <v>Not a buyer</v>
      </c>
      <c r="K388" s="5" t="s">
        <v>276</v>
      </c>
      <c r="L388" s="5" t="s">
        <v>18</v>
      </c>
      <c r="M388" s="5"/>
    </row>
    <row r="389" customFormat="false" ht="15" hidden="false" customHeight="false" outlineLevel="0" collapsed="false">
      <c r="A389" s="5" t="n">
        <v>388</v>
      </c>
      <c r="B389" s="5" t="s">
        <v>437</v>
      </c>
      <c r="C389" s="5" t="s">
        <v>274</v>
      </c>
      <c r="D389" s="5" t="s">
        <v>275</v>
      </c>
      <c r="E389" s="5" t="s">
        <v>44</v>
      </c>
      <c r="F389" s="6" t="n">
        <v>110</v>
      </c>
      <c r="G389" s="5" t="n">
        <v>11</v>
      </c>
      <c r="H389" s="7" t="n">
        <v>0.15</v>
      </c>
      <c r="I389" s="6" t="n">
        <f aca="false">IF(G389="","",ROUND(F389*(100-G389)/100,0))</f>
        <v>98</v>
      </c>
      <c r="J389" s="5" t="str">
        <f aca="false">IF(G389="","Needs KD",IF(D389&lt;&gt;"Client","Not a buyer",IF(AND(G389&lt;=25,F389&gt;=500),"P1 Quick Win",IF(AND(G389&lt;=35,F389&gt;=200),"P2 High Value",IF(G389&lt;=50,"P3 Build","P4 Long Term")))))</f>
        <v>Not a buyer</v>
      </c>
      <c r="K389" s="5" t="s">
        <v>276</v>
      </c>
      <c r="L389" s="5" t="s">
        <v>18</v>
      </c>
      <c r="M389" s="5"/>
    </row>
    <row r="390" customFormat="false" ht="15" hidden="false" customHeight="false" outlineLevel="0" collapsed="false">
      <c r="A390" s="5" t="n">
        <v>389</v>
      </c>
      <c r="B390" s="5" t="s">
        <v>438</v>
      </c>
      <c r="C390" s="5" t="s">
        <v>274</v>
      </c>
      <c r="D390" s="5" t="s">
        <v>297</v>
      </c>
      <c r="E390" s="5" t="s">
        <v>20</v>
      </c>
      <c r="F390" s="6" t="n">
        <v>110</v>
      </c>
      <c r="G390" s="5" t="n">
        <v>13</v>
      </c>
      <c r="H390" s="7" t="n">
        <v>3.97</v>
      </c>
      <c r="I390" s="6" t="n">
        <f aca="false">IF(G390="","",ROUND(F390*(100-G390)/100,0))</f>
        <v>96</v>
      </c>
      <c r="J390" s="5" t="str">
        <f aca="false">IF(G390="","Needs KD",IF(D390&lt;&gt;"Client","Not a buyer",IF(AND(G390&lt;=25,F390&gt;=500),"P1 Quick Win",IF(AND(G390&lt;=35,F390&gt;=200),"P2 High Value",IF(G390&lt;=50,"P3 Build","P4 Long Term")))))</f>
        <v>Not a buyer</v>
      </c>
      <c r="K390" s="5" t="s">
        <v>298</v>
      </c>
      <c r="L390" s="5" t="s">
        <v>18</v>
      </c>
      <c r="M390" s="5"/>
    </row>
    <row r="391" customFormat="false" ht="15" hidden="false" customHeight="false" outlineLevel="0" collapsed="false">
      <c r="A391" s="5" t="n">
        <v>390</v>
      </c>
      <c r="B391" s="5" t="s">
        <v>439</v>
      </c>
      <c r="C391" s="5" t="s">
        <v>274</v>
      </c>
      <c r="D391" s="5" t="s">
        <v>297</v>
      </c>
      <c r="E391" s="5" t="s">
        <v>20</v>
      </c>
      <c r="F391" s="6" t="n">
        <v>110</v>
      </c>
      <c r="G391" s="5" t="n">
        <v>13</v>
      </c>
      <c r="H391" s="7" t="n">
        <v>4.04</v>
      </c>
      <c r="I391" s="6" t="n">
        <f aca="false">IF(G391="","",ROUND(F391*(100-G391)/100,0))</f>
        <v>96</v>
      </c>
      <c r="J391" s="5" t="str">
        <f aca="false">IF(G391="","Needs KD",IF(D391&lt;&gt;"Client","Not a buyer",IF(AND(G391&lt;=25,F391&gt;=500),"P1 Quick Win",IF(AND(G391&lt;=35,F391&gt;=200),"P2 High Value",IF(G391&lt;=50,"P3 Build","P4 Long Term")))))</f>
        <v>Not a buyer</v>
      </c>
      <c r="K391" s="5" t="s">
        <v>298</v>
      </c>
      <c r="L391" s="5" t="s">
        <v>18</v>
      </c>
      <c r="M391" s="5"/>
    </row>
    <row r="392" customFormat="false" ht="15" hidden="false" customHeight="false" outlineLevel="0" collapsed="false">
      <c r="A392" s="5" t="n">
        <v>391</v>
      </c>
      <c r="B392" s="5" t="s">
        <v>440</v>
      </c>
      <c r="C392" s="5" t="s">
        <v>274</v>
      </c>
      <c r="D392" s="5" t="s">
        <v>297</v>
      </c>
      <c r="E392" s="5" t="s">
        <v>20</v>
      </c>
      <c r="F392" s="6" t="n">
        <v>110</v>
      </c>
      <c r="G392" s="5" t="n">
        <v>13</v>
      </c>
      <c r="H392" s="7" t="n">
        <v>2.34</v>
      </c>
      <c r="I392" s="6" t="n">
        <f aca="false">IF(G392="","",ROUND(F392*(100-G392)/100,0))</f>
        <v>96</v>
      </c>
      <c r="J392" s="5" t="str">
        <f aca="false">IF(G392="","Needs KD",IF(D392&lt;&gt;"Client","Not a buyer",IF(AND(G392&lt;=25,F392&gt;=500),"P1 Quick Win",IF(AND(G392&lt;=35,F392&gt;=200),"P2 High Value",IF(G392&lt;=50,"P3 Build","P4 Long Term")))))</f>
        <v>Not a buyer</v>
      </c>
      <c r="K392" s="5" t="s">
        <v>298</v>
      </c>
      <c r="L392" s="5" t="s">
        <v>18</v>
      </c>
      <c r="M392" s="5"/>
    </row>
    <row r="393" customFormat="false" ht="15" hidden="false" customHeight="false" outlineLevel="0" collapsed="false">
      <c r="A393" s="5" t="n">
        <v>392</v>
      </c>
      <c r="B393" s="5" t="s">
        <v>441</v>
      </c>
      <c r="C393" s="5" t="s">
        <v>274</v>
      </c>
      <c r="D393" s="5" t="s">
        <v>297</v>
      </c>
      <c r="E393" s="5" t="s">
        <v>20</v>
      </c>
      <c r="F393" s="6" t="n">
        <v>110</v>
      </c>
      <c r="G393" s="5" t="n">
        <v>13</v>
      </c>
      <c r="H393" s="7" t="n">
        <v>2.63</v>
      </c>
      <c r="I393" s="6" t="n">
        <f aca="false">IF(G393="","",ROUND(F393*(100-G393)/100,0))</f>
        <v>96</v>
      </c>
      <c r="J393" s="5" t="str">
        <f aca="false">IF(G393="","Needs KD",IF(D393&lt;&gt;"Client","Not a buyer",IF(AND(G393&lt;=25,F393&gt;=500),"P1 Quick Win",IF(AND(G393&lt;=35,F393&gt;=200),"P2 High Value",IF(G393&lt;=50,"P3 Build","P4 Long Term")))))</f>
        <v>Not a buyer</v>
      </c>
      <c r="K393" s="5" t="s">
        <v>298</v>
      </c>
      <c r="L393" s="5" t="s">
        <v>18</v>
      </c>
      <c r="M393" s="5"/>
    </row>
    <row r="394" customFormat="false" ht="15" hidden="false" customHeight="false" outlineLevel="0" collapsed="false">
      <c r="A394" s="5" t="n">
        <v>393</v>
      </c>
      <c r="B394" s="5" t="s">
        <v>442</v>
      </c>
      <c r="C394" s="5" t="s">
        <v>274</v>
      </c>
      <c r="D394" s="5" t="s">
        <v>297</v>
      </c>
      <c r="E394" s="5" t="s">
        <v>44</v>
      </c>
      <c r="F394" s="6" t="n">
        <v>110</v>
      </c>
      <c r="G394" s="5" t="n">
        <v>11</v>
      </c>
      <c r="H394" s="7" t="n">
        <v>10.04</v>
      </c>
      <c r="I394" s="6" t="n">
        <f aca="false">IF(G394="","",ROUND(F394*(100-G394)/100,0))</f>
        <v>98</v>
      </c>
      <c r="J394" s="5" t="str">
        <f aca="false">IF(G394="","Needs KD",IF(D394&lt;&gt;"Client","Not a buyer",IF(AND(G394&lt;=25,F394&gt;=500),"P1 Quick Win",IF(AND(G394&lt;=35,F394&gt;=200),"P2 High Value",IF(G394&lt;=50,"P3 Build","P4 Long Term")))))</f>
        <v>Not a buyer</v>
      </c>
      <c r="K394" s="5" t="s">
        <v>298</v>
      </c>
      <c r="L394" s="5" t="s">
        <v>18</v>
      </c>
      <c r="M394" s="5"/>
    </row>
    <row r="395" customFormat="false" ht="15" hidden="false" customHeight="false" outlineLevel="0" collapsed="false">
      <c r="A395" s="5" t="n">
        <v>394</v>
      </c>
      <c r="B395" s="5" t="s">
        <v>443</v>
      </c>
      <c r="C395" s="5" t="s">
        <v>274</v>
      </c>
      <c r="D395" s="5" t="s">
        <v>297</v>
      </c>
      <c r="E395" s="5" t="s">
        <v>20</v>
      </c>
      <c r="F395" s="6" t="n">
        <v>110</v>
      </c>
      <c r="G395" s="5" t="n">
        <v>11</v>
      </c>
      <c r="H395" s="7" t="n">
        <v>8.34</v>
      </c>
      <c r="I395" s="6" t="n">
        <f aca="false">IF(G395="","",ROUND(F395*(100-G395)/100,0))</f>
        <v>98</v>
      </c>
      <c r="J395" s="5" t="str">
        <f aca="false">IF(G395="","Needs KD",IF(D395&lt;&gt;"Client","Not a buyer",IF(AND(G395&lt;=25,F395&gt;=500),"P1 Quick Win",IF(AND(G395&lt;=35,F395&gt;=200),"P2 High Value",IF(G395&lt;=50,"P3 Build","P4 Long Term")))))</f>
        <v>Not a buyer</v>
      </c>
      <c r="K395" s="5" t="s">
        <v>298</v>
      </c>
      <c r="L395" s="5" t="s">
        <v>18</v>
      </c>
      <c r="M395" s="5"/>
    </row>
    <row r="396" customFormat="false" ht="15" hidden="false" customHeight="false" outlineLevel="0" collapsed="false">
      <c r="A396" s="5" t="n">
        <v>395</v>
      </c>
      <c r="B396" s="5" t="s">
        <v>444</v>
      </c>
      <c r="C396" s="5" t="s">
        <v>274</v>
      </c>
      <c r="D396" s="5" t="s">
        <v>297</v>
      </c>
      <c r="E396" s="5" t="s">
        <v>20</v>
      </c>
      <c r="F396" s="6" t="n">
        <v>110</v>
      </c>
      <c r="G396" s="5" t="n">
        <v>10</v>
      </c>
      <c r="H396" s="7" t="n">
        <v>4.99</v>
      </c>
      <c r="I396" s="6" t="n">
        <f aca="false">IF(G396="","",ROUND(F396*(100-G396)/100,0))</f>
        <v>99</v>
      </c>
      <c r="J396" s="5" t="str">
        <f aca="false">IF(G396="","Needs KD",IF(D396&lt;&gt;"Client","Not a buyer",IF(AND(G396&lt;=25,F396&gt;=500),"P1 Quick Win",IF(AND(G396&lt;=35,F396&gt;=200),"P2 High Value",IF(G396&lt;=50,"P3 Build","P4 Long Term")))))</f>
        <v>Not a buyer</v>
      </c>
      <c r="K396" s="5" t="s">
        <v>298</v>
      </c>
      <c r="L396" s="5" t="s">
        <v>18</v>
      </c>
      <c r="M396" s="5"/>
    </row>
    <row r="397" customFormat="false" ht="15" hidden="false" customHeight="false" outlineLevel="0" collapsed="false">
      <c r="A397" s="5" t="n">
        <v>396</v>
      </c>
      <c r="B397" s="5" t="s">
        <v>445</v>
      </c>
      <c r="C397" s="5" t="s">
        <v>274</v>
      </c>
      <c r="D397" s="5" t="s">
        <v>297</v>
      </c>
      <c r="E397" s="5" t="s">
        <v>20</v>
      </c>
      <c r="F397" s="6" t="n">
        <v>110</v>
      </c>
      <c r="G397" s="5" t="n">
        <v>10</v>
      </c>
      <c r="H397" s="7" t="n">
        <v>4.33</v>
      </c>
      <c r="I397" s="6" t="n">
        <f aca="false">IF(G397="","",ROUND(F397*(100-G397)/100,0))</f>
        <v>99</v>
      </c>
      <c r="J397" s="5" t="str">
        <f aca="false">IF(G397="","Needs KD",IF(D397&lt;&gt;"Client","Not a buyer",IF(AND(G397&lt;=25,F397&gt;=500),"P1 Quick Win",IF(AND(G397&lt;=35,F397&gt;=200),"P2 High Value",IF(G397&lt;=50,"P3 Build","P4 Long Term")))))</f>
        <v>Not a buyer</v>
      </c>
      <c r="K397" s="5" t="s">
        <v>298</v>
      </c>
      <c r="L397" s="5" t="s">
        <v>18</v>
      </c>
      <c r="M397" s="5"/>
    </row>
    <row r="398" customFormat="false" ht="15" hidden="false" customHeight="false" outlineLevel="0" collapsed="false">
      <c r="A398" s="5" t="n">
        <v>397</v>
      </c>
      <c r="B398" s="5" t="s">
        <v>446</v>
      </c>
      <c r="C398" s="5" t="s">
        <v>274</v>
      </c>
      <c r="D398" s="5" t="s">
        <v>297</v>
      </c>
      <c r="E398" s="5" t="s">
        <v>20</v>
      </c>
      <c r="F398" s="6" t="n">
        <v>110</v>
      </c>
      <c r="G398" s="5" t="n">
        <v>12</v>
      </c>
      <c r="H398" s="7" t="n">
        <v>2.61</v>
      </c>
      <c r="I398" s="6" t="n">
        <f aca="false">IF(G398="","",ROUND(F398*(100-G398)/100,0))</f>
        <v>97</v>
      </c>
      <c r="J398" s="5" t="str">
        <f aca="false">IF(G398="","Needs KD",IF(D398&lt;&gt;"Client","Not a buyer",IF(AND(G398&lt;=25,F398&gt;=500),"P1 Quick Win",IF(AND(G398&lt;=35,F398&gt;=200),"P2 High Value",IF(G398&lt;=50,"P3 Build","P4 Long Term")))))</f>
        <v>Not a buyer</v>
      </c>
      <c r="K398" s="5" t="s">
        <v>298</v>
      </c>
      <c r="L398" s="5" t="s">
        <v>18</v>
      </c>
      <c r="M398" s="5"/>
    </row>
    <row r="399" customFormat="false" ht="15" hidden="false" customHeight="false" outlineLevel="0" collapsed="false">
      <c r="A399" s="2" t="n">
        <v>398</v>
      </c>
      <c r="B399" s="2" t="s">
        <v>447</v>
      </c>
      <c r="C399" s="2" t="s">
        <v>274</v>
      </c>
      <c r="D399" s="2" t="s">
        <v>15</v>
      </c>
      <c r="E399" s="2" t="s">
        <v>44</v>
      </c>
      <c r="F399" s="3" t="n">
        <v>90</v>
      </c>
      <c r="G399" s="2" t="n">
        <v>12</v>
      </c>
      <c r="H399" s="4" t="n">
        <v>1.17</v>
      </c>
      <c r="I399" s="3" t="n">
        <f aca="false">IF(G399="","",ROUND(F399*(100-G399)/100,0))</f>
        <v>79</v>
      </c>
      <c r="J399" s="2" t="str">
        <f aca="false">IF(G399="","Needs KD",IF(D399&lt;&gt;"Client","Not a buyer",IF(AND(G399&lt;=25,F399&gt;=500),"P1 Quick Win",IF(AND(G399&lt;=35,F399&gt;=200),"P2 High Value",IF(G399&lt;=50,"P3 Build","P4 Long Term")))))</f>
        <v>P3 Build</v>
      </c>
      <c r="K399" s="2" t="s">
        <v>281</v>
      </c>
      <c r="L399" s="2" t="s">
        <v>18</v>
      </c>
      <c r="M399" s="2"/>
    </row>
    <row r="400" customFormat="false" ht="15" hidden="false" customHeight="false" outlineLevel="0" collapsed="false">
      <c r="A400" s="2" t="n">
        <v>399</v>
      </c>
      <c r="B400" s="2" t="s">
        <v>448</v>
      </c>
      <c r="C400" s="2" t="s">
        <v>274</v>
      </c>
      <c r="D400" s="2" t="s">
        <v>15</v>
      </c>
      <c r="E400" s="2" t="s">
        <v>44</v>
      </c>
      <c r="F400" s="3" t="n">
        <v>90</v>
      </c>
      <c r="G400" s="2" t="n">
        <v>12</v>
      </c>
      <c r="H400" s="4" t="n">
        <v>0.79</v>
      </c>
      <c r="I400" s="3" t="n">
        <f aca="false">IF(G400="","",ROUND(F400*(100-G400)/100,0))</f>
        <v>79</v>
      </c>
      <c r="J400" s="2" t="str">
        <f aca="false">IF(G400="","Needs KD",IF(D400&lt;&gt;"Client","Not a buyer",IF(AND(G400&lt;=25,F400&gt;=500),"P1 Quick Win",IF(AND(G400&lt;=35,F400&gt;=200),"P2 High Value",IF(G400&lt;=50,"P3 Build","P4 Long Term")))))</f>
        <v>P3 Build</v>
      </c>
      <c r="K400" s="2" t="s">
        <v>281</v>
      </c>
      <c r="L400" s="2" t="s">
        <v>18</v>
      </c>
      <c r="M400" s="2"/>
    </row>
    <row r="401" customFormat="false" ht="15" hidden="false" customHeight="false" outlineLevel="0" collapsed="false">
      <c r="A401" s="2" t="n">
        <v>400</v>
      </c>
      <c r="B401" s="2" t="s">
        <v>449</v>
      </c>
      <c r="C401" s="2" t="s">
        <v>274</v>
      </c>
      <c r="D401" s="2" t="s">
        <v>15</v>
      </c>
      <c r="E401" s="2" t="s">
        <v>44</v>
      </c>
      <c r="F401" s="3" t="n">
        <v>90</v>
      </c>
      <c r="G401" s="2" t="n">
        <v>12</v>
      </c>
      <c r="H401" s="4" t="n">
        <v>1.78</v>
      </c>
      <c r="I401" s="3" t="n">
        <f aca="false">IF(G401="","",ROUND(F401*(100-G401)/100,0))</f>
        <v>79</v>
      </c>
      <c r="J401" s="2" t="str">
        <f aca="false">IF(G401="","Needs KD",IF(D401&lt;&gt;"Client","Not a buyer",IF(AND(G401&lt;=25,F401&gt;=500),"P1 Quick Win",IF(AND(G401&lt;=35,F401&gt;=200),"P2 High Value",IF(G401&lt;=50,"P3 Build","P4 Long Term")))))</f>
        <v>P3 Build</v>
      </c>
      <c r="K401" s="2" t="s">
        <v>281</v>
      </c>
      <c r="L401" s="2" t="s">
        <v>18</v>
      </c>
      <c r="M401" s="2"/>
    </row>
    <row r="402" customFormat="false" ht="15" hidden="false" customHeight="false" outlineLevel="0" collapsed="false">
      <c r="A402" s="2" t="n">
        <v>401</v>
      </c>
      <c r="B402" s="2" t="s">
        <v>450</v>
      </c>
      <c r="C402" s="2" t="s">
        <v>274</v>
      </c>
      <c r="D402" s="2" t="s">
        <v>15</v>
      </c>
      <c r="E402" s="2" t="s">
        <v>44</v>
      </c>
      <c r="F402" s="3" t="n">
        <v>90</v>
      </c>
      <c r="G402" s="2" t="n">
        <v>13</v>
      </c>
      <c r="H402" s="4" t="n">
        <v>0.74</v>
      </c>
      <c r="I402" s="3" t="n">
        <f aca="false">IF(G402="","",ROUND(F402*(100-G402)/100,0))</f>
        <v>78</v>
      </c>
      <c r="J402" s="2" t="str">
        <f aca="false">IF(G402="","Needs KD",IF(D402&lt;&gt;"Client","Not a buyer",IF(AND(G402&lt;=25,F402&gt;=500),"P1 Quick Win",IF(AND(G402&lt;=35,F402&gt;=200),"P2 High Value",IF(G402&lt;=50,"P3 Build","P4 Long Term")))))</f>
        <v>P3 Build</v>
      </c>
      <c r="K402" s="2" t="s">
        <v>281</v>
      </c>
      <c r="L402" s="2" t="s">
        <v>18</v>
      </c>
      <c r="M402" s="2"/>
    </row>
    <row r="403" customFormat="false" ht="15" hidden="false" customHeight="false" outlineLevel="0" collapsed="false">
      <c r="A403" s="2" t="n">
        <v>402</v>
      </c>
      <c r="B403" s="2" t="s">
        <v>451</v>
      </c>
      <c r="C403" s="2" t="s">
        <v>274</v>
      </c>
      <c r="D403" s="2" t="s">
        <v>15</v>
      </c>
      <c r="E403" s="2" t="s">
        <v>20</v>
      </c>
      <c r="F403" s="3" t="n">
        <v>90</v>
      </c>
      <c r="G403" s="2" t="n">
        <v>13</v>
      </c>
      <c r="H403" s="4" t="n">
        <v>1.23</v>
      </c>
      <c r="I403" s="3" t="n">
        <f aca="false">IF(G403="","",ROUND(F403*(100-G403)/100,0))</f>
        <v>78</v>
      </c>
      <c r="J403" s="2" t="str">
        <f aca="false">IF(G403="","Needs KD",IF(D403&lt;&gt;"Client","Not a buyer",IF(AND(G403&lt;=25,F403&gt;=500),"P1 Quick Win",IF(AND(G403&lt;=35,F403&gt;=200),"P2 High Value",IF(G403&lt;=50,"P3 Build","P4 Long Term")))))</f>
        <v>P3 Build</v>
      </c>
      <c r="K403" s="2" t="s">
        <v>281</v>
      </c>
      <c r="L403" s="2" t="s">
        <v>18</v>
      </c>
      <c r="M403" s="2"/>
    </row>
    <row r="404" customFormat="false" ht="15" hidden="false" customHeight="false" outlineLevel="0" collapsed="false">
      <c r="A404" s="2" t="n">
        <v>403</v>
      </c>
      <c r="B404" s="2" t="s">
        <v>452</v>
      </c>
      <c r="C404" s="2" t="s">
        <v>274</v>
      </c>
      <c r="D404" s="2" t="s">
        <v>15</v>
      </c>
      <c r="E404" s="2" t="s">
        <v>44</v>
      </c>
      <c r="F404" s="3" t="n">
        <v>90</v>
      </c>
      <c r="G404" s="2" t="n">
        <v>10</v>
      </c>
      <c r="H404" s="4" t="n">
        <v>0.74</v>
      </c>
      <c r="I404" s="3" t="n">
        <f aca="false">IF(G404="","",ROUND(F404*(100-G404)/100,0))</f>
        <v>81</v>
      </c>
      <c r="J404" s="2" t="str">
        <f aca="false">IF(G404="","Needs KD",IF(D404&lt;&gt;"Client","Not a buyer",IF(AND(G404&lt;=25,F404&gt;=500),"P1 Quick Win",IF(AND(G404&lt;=35,F404&gt;=200),"P2 High Value",IF(G404&lt;=50,"P3 Build","P4 Long Term")))))</f>
        <v>P3 Build</v>
      </c>
      <c r="K404" s="2" t="s">
        <v>281</v>
      </c>
      <c r="L404" s="2" t="s">
        <v>18</v>
      </c>
      <c r="M404" s="2"/>
    </row>
    <row r="405" customFormat="false" ht="15" hidden="false" customHeight="false" outlineLevel="0" collapsed="false">
      <c r="A405" s="2" t="n">
        <v>404</v>
      </c>
      <c r="B405" s="2" t="s">
        <v>453</v>
      </c>
      <c r="C405" s="2" t="s">
        <v>274</v>
      </c>
      <c r="D405" s="2" t="s">
        <v>15</v>
      </c>
      <c r="E405" s="2" t="s">
        <v>44</v>
      </c>
      <c r="F405" s="3" t="n">
        <v>90</v>
      </c>
      <c r="G405" s="2" t="n">
        <v>10</v>
      </c>
      <c r="H405" s="4" t="n">
        <v>0.88</v>
      </c>
      <c r="I405" s="3" t="n">
        <f aca="false">IF(G405="","",ROUND(F405*(100-G405)/100,0))</f>
        <v>81</v>
      </c>
      <c r="J405" s="2" t="str">
        <f aca="false">IF(G405="","Needs KD",IF(D405&lt;&gt;"Client","Not a buyer",IF(AND(G405&lt;=25,F405&gt;=500),"P1 Quick Win",IF(AND(G405&lt;=35,F405&gt;=200),"P2 High Value",IF(G405&lt;=50,"P3 Build","P4 Long Term")))))</f>
        <v>P3 Build</v>
      </c>
      <c r="K405" s="2" t="s">
        <v>281</v>
      </c>
      <c r="L405" s="2" t="s">
        <v>18</v>
      </c>
      <c r="M405" s="2"/>
    </row>
    <row r="406" customFormat="false" ht="15" hidden="false" customHeight="false" outlineLevel="0" collapsed="false">
      <c r="A406" s="2" t="n">
        <v>405</v>
      </c>
      <c r="B406" s="2" t="s">
        <v>454</v>
      </c>
      <c r="C406" s="2" t="s">
        <v>274</v>
      </c>
      <c r="D406" s="2" t="s">
        <v>15</v>
      </c>
      <c r="E406" s="2" t="s">
        <v>44</v>
      </c>
      <c r="F406" s="3" t="n">
        <v>90</v>
      </c>
      <c r="G406" s="2" t="n">
        <v>9</v>
      </c>
      <c r="H406" s="4" t="n">
        <v>1.78</v>
      </c>
      <c r="I406" s="3" t="n">
        <f aca="false">IF(G406="","",ROUND(F406*(100-G406)/100,0))</f>
        <v>82</v>
      </c>
      <c r="J406" s="2" t="str">
        <f aca="false">IF(G406="","Needs KD",IF(D406&lt;&gt;"Client","Not a buyer",IF(AND(G406&lt;=25,F406&gt;=500),"P1 Quick Win",IF(AND(G406&lt;=35,F406&gt;=200),"P2 High Value",IF(G406&lt;=50,"P3 Build","P4 Long Term")))))</f>
        <v>P3 Build</v>
      </c>
      <c r="K406" s="2" t="s">
        <v>281</v>
      </c>
      <c r="L406" s="2" t="s">
        <v>18</v>
      </c>
      <c r="M406" s="2"/>
    </row>
    <row r="407" customFormat="false" ht="15" hidden="false" customHeight="false" outlineLevel="0" collapsed="false">
      <c r="A407" s="2" t="n">
        <v>406</v>
      </c>
      <c r="B407" s="2" t="s">
        <v>455</v>
      </c>
      <c r="C407" s="2" t="s">
        <v>274</v>
      </c>
      <c r="D407" s="2" t="s">
        <v>15</v>
      </c>
      <c r="E407" s="2" t="s">
        <v>44</v>
      </c>
      <c r="F407" s="3" t="n">
        <v>90</v>
      </c>
      <c r="G407" s="2" t="n">
        <v>9</v>
      </c>
      <c r="H407" s="4" t="n">
        <v>1.22</v>
      </c>
      <c r="I407" s="3" t="n">
        <f aca="false">IF(G407="","",ROUND(F407*(100-G407)/100,0))</f>
        <v>82</v>
      </c>
      <c r="J407" s="2" t="str">
        <f aca="false">IF(G407="","Needs KD",IF(D407&lt;&gt;"Client","Not a buyer",IF(AND(G407&lt;=25,F407&gt;=500),"P1 Quick Win",IF(AND(G407&lt;=35,F407&gt;=200),"P2 High Value",IF(G407&lt;=50,"P3 Build","P4 Long Term")))))</f>
        <v>P3 Build</v>
      </c>
      <c r="K407" s="2" t="s">
        <v>281</v>
      </c>
      <c r="L407" s="2" t="s">
        <v>18</v>
      </c>
      <c r="M407" s="2"/>
    </row>
    <row r="408" customFormat="false" ht="15" hidden="false" customHeight="false" outlineLevel="0" collapsed="false">
      <c r="A408" s="2" t="n">
        <v>407</v>
      </c>
      <c r="B408" s="2" t="s">
        <v>456</v>
      </c>
      <c r="C408" s="2" t="s">
        <v>274</v>
      </c>
      <c r="D408" s="2" t="s">
        <v>15</v>
      </c>
      <c r="E408" s="2" t="s">
        <v>20</v>
      </c>
      <c r="F408" s="3" t="n">
        <v>90</v>
      </c>
      <c r="G408" s="2" t="n">
        <v>13</v>
      </c>
      <c r="H408" s="4" t="n">
        <v>1.23</v>
      </c>
      <c r="I408" s="3" t="n">
        <f aca="false">IF(G408="","",ROUND(F408*(100-G408)/100,0))</f>
        <v>78</v>
      </c>
      <c r="J408" s="2" t="str">
        <f aca="false">IF(G408="","Needs KD",IF(D408&lt;&gt;"Client","Not a buyer",IF(AND(G408&lt;=25,F408&gt;=500),"P1 Quick Win",IF(AND(G408&lt;=35,F408&gt;=200),"P2 High Value",IF(G408&lt;=50,"P3 Build","P4 Long Term")))))</f>
        <v>P3 Build</v>
      </c>
      <c r="K408" s="2" t="s">
        <v>279</v>
      </c>
      <c r="L408" s="2" t="s">
        <v>18</v>
      </c>
      <c r="M408" s="2"/>
    </row>
    <row r="409" customFormat="false" ht="15" hidden="false" customHeight="false" outlineLevel="0" collapsed="false">
      <c r="A409" s="2" t="n">
        <v>408</v>
      </c>
      <c r="B409" s="2" t="s">
        <v>457</v>
      </c>
      <c r="C409" s="2" t="s">
        <v>274</v>
      </c>
      <c r="D409" s="2" t="s">
        <v>15</v>
      </c>
      <c r="E409" s="2" t="s">
        <v>44</v>
      </c>
      <c r="F409" s="3" t="n">
        <v>90</v>
      </c>
      <c r="G409" s="2" t="n">
        <v>11</v>
      </c>
      <c r="H409" s="4" t="n">
        <v>6.14</v>
      </c>
      <c r="I409" s="3" t="n">
        <f aca="false">IF(G409="","",ROUND(F409*(100-G409)/100,0))</f>
        <v>80</v>
      </c>
      <c r="J409" s="2" t="str">
        <f aca="false">IF(G409="","Needs KD",IF(D409&lt;&gt;"Client","Not a buyer",IF(AND(G409&lt;=25,F409&gt;=500),"P1 Quick Win",IF(AND(G409&lt;=35,F409&gt;=200),"P2 High Value",IF(G409&lt;=50,"P3 Build","P4 Long Term")))))</f>
        <v>P3 Build</v>
      </c>
      <c r="K409" s="2" t="s">
        <v>303</v>
      </c>
      <c r="L409" s="2" t="s">
        <v>18</v>
      </c>
      <c r="M409" s="2"/>
    </row>
    <row r="410" customFormat="false" ht="15" hidden="false" customHeight="false" outlineLevel="0" collapsed="false">
      <c r="A410" s="2" t="n">
        <v>409</v>
      </c>
      <c r="B410" s="2" t="s">
        <v>458</v>
      </c>
      <c r="C410" s="2" t="s">
        <v>274</v>
      </c>
      <c r="D410" s="2" t="s">
        <v>15</v>
      </c>
      <c r="E410" s="2" t="s">
        <v>34</v>
      </c>
      <c r="F410" s="3" t="n">
        <v>90</v>
      </c>
      <c r="G410" s="2" t="n">
        <v>14</v>
      </c>
      <c r="H410" s="4" t="n">
        <v>1.16</v>
      </c>
      <c r="I410" s="3" t="n">
        <f aca="false">IF(G410="","",ROUND(F410*(100-G410)/100,0))</f>
        <v>77</v>
      </c>
      <c r="J410" s="2" t="str">
        <f aca="false">IF(G410="","Needs KD",IF(D410&lt;&gt;"Client","Not a buyer",IF(AND(G410&lt;=25,F410&gt;=500),"P1 Quick Win",IF(AND(G410&lt;=35,F410&gt;=200),"P2 High Value",IF(G410&lt;=50,"P3 Build","P4 Long Term")))))</f>
        <v>P3 Build</v>
      </c>
      <c r="K410" s="2" t="s">
        <v>303</v>
      </c>
      <c r="L410" s="2" t="s">
        <v>18</v>
      </c>
      <c r="M410" s="2"/>
    </row>
    <row r="411" customFormat="false" ht="15" hidden="false" customHeight="false" outlineLevel="0" collapsed="false">
      <c r="A411" s="2" t="n">
        <v>410</v>
      </c>
      <c r="B411" s="2" t="s">
        <v>459</v>
      </c>
      <c r="C411" s="2" t="s">
        <v>274</v>
      </c>
      <c r="D411" s="2" t="s">
        <v>15</v>
      </c>
      <c r="E411" s="2" t="s">
        <v>20</v>
      </c>
      <c r="F411" s="3" t="n">
        <v>90</v>
      </c>
      <c r="G411" s="2" t="n">
        <v>14</v>
      </c>
      <c r="H411" s="4" t="n">
        <v>1.85</v>
      </c>
      <c r="I411" s="3" t="n">
        <f aca="false">IF(G411="","",ROUND(F411*(100-G411)/100,0))</f>
        <v>77</v>
      </c>
      <c r="J411" s="2" t="str">
        <f aca="false">IF(G411="","Needs KD",IF(D411&lt;&gt;"Client","Not a buyer",IF(AND(G411&lt;=25,F411&gt;=500),"P1 Quick Win",IF(AND(G411&lt;=35,F411&gt;=200),"P2 High Value",IF(G411&lt;=50,"P3 Build","P4 Long Term")))))</f>
        <v>P3 Build</v>
      </c>
      <c r="K411" s="2" t="s">
        <v>291</v>
      </c>
      <c r="L411" s="2" t="s">
        <v>18</v>
      </c>
      <c r="M411" s="2"/>
    </row>
    <row r="412" customFormat="false" ht="15" hidden="false" customHeight="false" outlineLevel="0" collapsed="false">
      <c r="A412" s="2" t="n">
        <v>411</v>
      </c>
      <c r="B412" s="2" t="s">
        <v>460</v>
      </c>
      <c r="C412" s="2" t="s">
        <v>274</v>
      </c>
      <c r="D412" s="2" t="s">
        <v>15</v>
      </c>
      <c r="E412" s="2" t="s">
        <v>34</v>
      </c>
      <c r="F412" s="3" t="n">
        <v>90</v>
      </c>
      <c r="G412" s="2" t="n">
        <v>13</v>
      </c>
      <c r="H412" s="4" t="n">
        <v>0.69</v>
      </c>
      <c r="I412" s="3" t="n">
        <f aca="false">IF(G412="","",ROUND(F412*(100-G412)/100,0))</f>
        <v>78</v>
      </c>
      <c r="J412" s="2" t="str">
        <f aca="false">IF(G412="","Needs KD",IF(D412&lt;&gt;"Client","Not a buyer",IF(AND(G412&lt;=25,F412&gt;=500),"P1 Quick Win",IF(AND(G412&lt;=35,F412&gt;=200),"P2 High Value",IF(G412&lt;=50,"P3 Build","P4 Long Term")))))</f>
        <v>P3 Build</v>
      </c>
      <c r="K412" s="2" t="s">
        <v>291</v>
      </c>
      <c r="L412" s="2" t="s">
        <v>18</v>
      </c>
      <c r="M412" s="2"/>
    </row>
    <row r="413" customFormat="false" ht="15" hidden="false" customHeight="false" outlineLevel="0" collapsed="false">
      <c r="A413" s="5" t="n">
        <v>412</v>
      </c>
      <c r="B413" s="5" t="s">
        <v>461</v>
      </c>
      <c r="C413" s="5" t="s">
        <v>274</v>
      </c>
      <c r="D413" s="5" t="s">
        <v>62</v>
      </c>
      <c r="E413" s="5" t="s">
        <v>39</v>
      </c>
      <c r="F413" s="6" t="n">
        <v>90</v>
      </c>
      <c r="G413" s="5" t="n">
        <v>15</v>
      </c>
      <c r="H413" s="7" t="n">
        <v>0.73</v>
      </c>
      <c r="I413" s="6" t="n">
        <f aca="false">IF(G413="","",ROUND(F413*(100-G413)/100,0))</f>
        <v>77</v>
      </c>
      <c r="J413" s="5" t="str">
        <f aca="false">IF(G413="","Needs KD",IF(D413&lt;&gt;"Client","Not a buyer",IF(AND(G413&lt;=25,F413&gt;=500),"P1 Quick Win",IF(AND(G413&lt;=35,F413&gt;=200),"P2 High Value",IF(G413&lt;=50,"P3 Build","P4 Long Term")))))</f>
        <v>Not a buyer</v>
      </c>
      <c r="K413" s="5" t="s">
        <v>284</v>
      </c>
      <c r="L413" s="5" t="s">
        <v>18</v>
      </c>
      <c r="M413" s="5"/>
    </row>
    <row r="414" customFormat="false" ht="15" hidden="false" customHeight="false" outlineLevel="0" collapsed="false">
      <c r="A414" s="5" t="n">
        <v>413</v>
      </c>
      <c r="B414" s="5" t="s">
        <v>462</v>
      </c>
      <c r="C414" s="5" t="s">
        <v>274</v>
      </c>
      <c r="D414" s="5" t="s">
        <v>275</v>
      </c>
      <c r="E414" s="5" t="s">
        <v>44</v>
      </c>
      <c r="F414" s="6" t="n">
        <v>90</v>
      </c>
      <c r="G414" s="5" t="n">
        <v>14</v>
      </c>
      <c r="H414" s="7" t="n">
        <v>1.06</v>
      </c>
      <c r="I414" s="6" t="n">
        <f aca="false">IF(G414="","",ROUND(F414*(100-G414)/100,0))</f>
        <v>77</v>
      </c>
      <c r="J414" s="5" t="str">
        <f aca="false">IF(G414="","Needs KD",IF(D414&lt;&gt;"Client","Not a buyer",IF(AND(G414&lt;=25,F414&gt;=500),"P1 Quick Win",IF(AND(G414&lt;=35,F414&gt;=200),"P2 High Value",IF(G414&lt;=50,"P3 Build","P4 Long Term")))))</f>
        <v>Not a buyer</v>
      </c>
      <c r="K414" s="5" t="s">
        <v>276</v>
      </c>
      <c r="L414" s="5" t="s">
        <v>18</v>
      </c>
      <c r="M414" s="5"/>
    </row>
    <row r="415" customFormat="false" ht="15" hidden="false" customHeight="false" outlineLevel="0" collapsed="false">
      <c r="A415" s="5" t="n">
        <v>414</v>
      </c>
      <c r="B415" s="5" t="s">
        <v>463</v>
      </c>
      <c r="C415" s="5" t="s">
        <v>274</v>
      </c>
      <c r="D415" s="5" t="s">
        <v>275</v>
      </c>
      <c r="E415" s="5" t="s">
        <v>44</v>
      </c>
      <c r="F415" s="6" t="n">
        <v>90</v>
      </c>
      <c r="G415" s="5" t="n">
        <v>13</v>
      </c>
      <c r="H415" s="7" t="n">
        <v>1.64</v>
      </c>
      <c r="I415" s="6" t="n">
        <f aca="false">IF(G415="","",ROUND(F415*(100-G415)/100,0))</f>
        <v>78</v>
      </c>
      <c r="J415" s="5" t="str">
        <f aca="false">IF(G415="","Needs KD",IF(D415&lt;&gt;"Client","Not a buyer",IF(AND(G415&lt;=25,F415&gt;=500),"P1 Quick Win",IF(AND(G415&lt;=35,F415&gt;=200),"P2 High Value",IF(G415&lt;=50,"P3 Build","P4 Long Term")))))</f>
        <v>Not a buyer</v>
      </c>
      <c r="K415" s="5" t="s">
        <v>276</v>
      </c>
      <c r="L415" s="5" t="s">
        <v>18</v>
      </c>
      <c r="M415" s="5"/>
    </row>
    <row r="416" customFormat="false" ht="15" hidden="false" customHeight="false" outlineLevel="0" collapsed="false">
      <c r="A416" s="5" t="n">
        <v>415</v>
      </c>
      <c r="B416" s="5" t="s">
        <v>464</v>
      </c>
      <c r="C416" s="5" t="s">
        <v>274</v>
      </c>
      <c r="D416" s="5" t="s">
        <v>275</v>
      </c>
      <c r="E416" s="5" t="s">
        <v>44</v>
      </c>
      <c r="F416" s="6" t="n">
        <v>90</v>
      </c>
      <c r="G416" s="5" t="n">
        <v>11</v>
      </c>
      <c r="H416" s="7" t="n">
        <v>1.09</v>
      </c>
      <c r="I416" s="6" t="n">
        <f aca="false">IF(G416="","",ROUND(F416*(100-G416)/100,0))</f>
        <v>80</v>
      </c>
      <c r="J416" s="5" t="str">
        <f aca="false">IF(G416="","Needs KD",IF(D416&lt;&gt;"Client","Not a buyer",IF(AND(G416&lt;=25,F416&gt;=500),"P1 Quick Win",IF(AND(G416&lt;=35,F416&gt;=200),"P2 High Value",IF(G416&lt;=50,"P3 Build","P4 Long Term")))))</f>
        <v>Not a buyer</v>
      </c>
      <c r="K416" s="5" t="s">
        <v>276</v>
      </c>
      <c r="L416" s="5" t="s">
        <v>18</v>
      </c>
      <c r="M416" s="5"/>
    </row>
    <row r="417" customFormat="false" ht="15" hidden="false" customHeight="false" outlineLevel="0" collapsed="false">
      <c r="A417" s="5" t="n">
        <v>416</v>
      </c>
      <c r="B417" s="5" t="s">
        <v>465</v>
      </c>
      <c r="C417" s="5" t="s">
        <v>274</v>
      </c>
      <c r="D417" s="5" t="s">
        <v>275</v>
      </c>
      <c r="E417" s="5" t="s">
        <v>44</v>
      </c>
      <c r="F417" s="6" t="n">
        <v>90</v>
      </c>
      <c r="G417" s="5" t="n">
        <v>11</v>
      </c>
      <c r="H417" s="7" t="n">
        <v>0.5</v>
      </c>
      <c r="I417" s="6" t="n">
        <f aca="false">IF(G417="","",ROUND(F417*(100-G417)/100,0))</f>
        <v>80</v>
      </c>
      <c r="J417" s="5" t="str">
        <f aca="false">IF(G417="","Needs KD",IF(D417&lt;&gt;"Client","Not a buyer",IF(AND(G417&lt;=25,F417&gt;=500),"P1 Quick Win",IF(AND(G417&lt;=35,F417&gt;=200),"P2 High Value",IF(G417&lt;=50,"P3 Build","P4 Long Term")))))</f>
        <v>Not a buyer</v>
      </c>
      <c r="K417" s="5" t="s">
        <v>276</v>
      </c>
      <c r="L417" s="5" t="s">
        <v>18</v>
      </c>
      <c r="M417" s="5"/>
    </row>
    <row r="418" customFormat="false" ht="15" hidden="false" customHeight="false" outlineLevel="0" collapsed="false">
      <c r="A418" s="5" t="n">
        <v>417</v>
      </c>
      <c r="B418" s="5" t="s">
        <v>466</v>
      </c>
      <c r="C418" s="5" t="s">
        <v>274</v>
      </c>
      <c r="D418" s="5" t="s">
        <v>275</v>
      </c>
      <c r="E418" s="5" t="s">
        <v>44</v>
      </c>
      <c r="F418" s="6" t="n">
        <v>90</v>
      </c>
      <c r="G418" s="5" t="n">
        <v>12</v>
      </c>
      <c r="H418" s="7" t="n">
        <v>0.31</v>
      </c>
      <c r="I418" s="6" t="n">
        <f aca="false">IF(G418="","",ROUND(F418*(100-G418)/100,0))</f>
        <v>79</v>
      </c>
      <c r="J418" s="5" t="str">
        <f aca="false">IF(G418="","Needs KD",IF(D418&lt;&gt;"Client","Not a buyer",IF(AND(G418&lt;=25,F418&gt;=500),"P1 Quick Win",IF(AND(G418&lt;=35,F418&gt;=200),"P2 High Value",IF(G418&lt;=50,"P3 Build","P4 Long Term")))))</f>
        <v>Not a buyer</v>
      </c>
      <c r="K418" s="5" t="s">
        <v>276</v>
      </c>
      <c r="L418" s="5" t="s">
        <v>18</v>
      </c>
      <c r="M418" s="5"/>
    </row>
    <row r="419" customFormat="false" ht="15" hidden="false" customHeight="false" outlineLevel="0" collapsed="false">
      <c r="A419" s="5" t="n">
        <v>418</v>
      </c>
      <c r="B419" s="5" t="s">
        <v>467</v>
      </c>
      <c r="C419" s="5" t="s">
        <v>274</v>
      </c>
      <c r="D419" s="5" t="s">
        <v>275</v>
      </c>
      <c r="E419" s="5" t="s">
        <v>39</v>
      </c>
      <c r="F419" s="6" t="n">
        <v>90</v>
      </c>
      <c r="G419" s="5" t="n">
        <v>11</v>
      </c>
      <c r="H419" s="7" t="n">
        <v>1.57</v>
      </c>
      <c r="I419" s="6" t="n">
        <f aca="false">IF(G419="","",ROUND(F419*(100-G419)/100,0))</f>
        <v>80</v>
      </c>
      <c r="J419" s="5" t="str">
        <f aca="false">IF(G419="","Needs KD",IF(D419&lt;&gt;"Client","Not a buyer",IF(AND(G419&lt;=25,F419&gt;=500),"P1 Quick Win",IF(AND(G419&lt;=35,F419&gt;=200),"P2 High Value",IF(G419&lt;=50,"P3 Build","P4 Long Term")))))</f>
        <v>Not a buyer</v>
      </c>
      <c r="K419" s="5" t="s">
        <v>276</v>
      </c>
      <c r="L419" s="5" t="s">
        <v>18</v>
      </c>
      <c r="M419" s="5"/>
    </row>
    <row r="420" customFormat="false" ht="15" hidden="false" customHeight="false" outlineLevel="0" collapsed="false">
      <c r="A420" s="5" t="n">
        <v>419</v>
      </c>
      <c r="B420" s="5" t="s">
        <v>468</v>
      </c>
      <c r="C420" s="5" t="s">
        <v>274</v>
      </c>
      <c r="D420" s="5" t="s">
        <v>297</v>
      </c>
      <c r="E420" s="5" t="s">
        <v>44</v>
      </c>
      <c r="F420" s="6" t="n">
        <v>90</v>
      </c>
      <c r="G420" s="5" t="n">
        <v>9</v>
      </c>
      <c r="H420" s="7" t="n">
        <v>8.15</v>
      </c>
      <c r="I420" s="6" t="n">
        <f aca="false">IF(G420="","",ROUND(F420*(100-G420)/100,0))</f>
        <v>82</v>
      </c>
      <c r="J420" s="5" t="str">
        <f aca="false">IF(G420="","Needs KD",IF(D420&lt;&gt;"Client","Not a buyer",IF(AND(G420&lt;=25,F420&gt;=500),"P1 Quick Win",IF(AND(G420&lt;=35,F420&gt;=200),"P2 High Value",IF(G420&lt;=50,"P3 Build","P4 Long Term")))))</f>
        <v>Not a buyer</v>
      </c>
      <c r="K420" s="5" t="s">
        <v>298</v>
      </c>
      <c r="L420" s="5" t="s">
        <v>18</v>
      </c>
      <c r="M420" s="5"/>
    </row>
    <row r="421" customFormat="false" ht="15" hidden="false" customHeight="false" outlineLevel="0" collapsed="false">
      <c r="A421" s="5" t="n">
        <v>420</v>
      </c>
      <c r="B421" s="5" t="s">
        <v>469</v>
      </c>
      <c r="C421" s="5" t="s">
        <v>274</v>
      </c>
      <c r="D421" s="5" t="s">
        <v>297</v>
      </c>
      <c r="E421" s="5" t="s">
        <v>20</v>
      </c>
      <c r="F421" s="6" t="n">
        <v>90</v>
      </c>
      <c r="G421" s="5" t="n">
        <v>14</v>
      </c>
      <c r="H421" s="7" t="n">
        <v>4.46</v>
      </c>
      <c r="I421" s="6" t="n">
        <f aca="false">IF(G421="","",ROUND(F421*(100-G421)/100,0))</f>
        <v>77</v>
      </c>
      <c r="J421" s="5" t="str">
        <f aca="false">IF(G421="","Needs KD",IF(D421&lt;&gt;"Client","Not a buyer",IF(AND(G421&lt;=25,F421&gt;=500),"P1 Quick Win",IF(AND(G421&lt;=35,F421&gt;=200),"P2 High Value",IF(G421&lt;=50,"P3 Build","P4 Long Term")))))</f>
        <v>Not a buyer</v>
      </c>
      <c r="K421" s="5" t="s">
        <v>298</v>
      </c>
      <c r="L421" s="5" t="s">
        <v>18</v>
      </c>
      <c r="M421" s="5"/>
    </row>
    <row r="422" customFormat="false" ht="15" hidden="false" customHeight="false" outlineLevel="0" collapsed="false">
      <c r="A422" s="5" t="n">
        <v>421</v>
      </c>
      <c r="B422" s="5" t="s">
        <v>470</v>
      </c>
      <c r="C422" s="5" t="s">
        <v>274</v>
      </c>
      <c r="D422" s="5" t="s">
        <v>297</v>
      </c>
      <c r="E422" s="5" t="s">
        <v>20</v>
      </c>
      <c r="F422" s="6" t="n">
        <v>90</v>
      </c>
      <c r="G422" s="5" t="n">
        <v>14</v>
      </c>
      <c r="H422" s="7" t="n">
        <v>0</v>
      </c>
      <c r="I422" s="6" t="n">
        <f aca="false">IF(G422="","",ROUND(F422*(100-G422)/100,0))</f>
        <v>77</v>
      </c>
      <c r="J422" s="5" t="str">
        <f aca="false">IF(G422="","Needs KD",IF(D422&lt;&gt;"Client","Not a buyer",IF(AND(G422&lt;=25,F422&gt;=500),"P1 Quick Win",IF(AND(G422&lt;=35,F422&gt;=200),"P2 High Value",IF(G422&lt;=50,"P3 Build","P4 Long Term")))))</f>
        <v>Not a buyer</v>
      </c>
      <c r="K422" s="5" t="s">
        <v>298</v>
      </c>
      <c r="L422" s="5" t="s">
        <v>18</v>
      </c>
      <c r="M422" s="5"/>
    </row>
    <row r="423" customFormat="false" ht="15" hidden="false" customHeight="false" outlineLevel="0" collapsed="false">
      <c r="A423" s="5" t="n">
        <v>422</v>
      </c>
      <c r="B423" s="5" t="s">
        <v>471</v>
      </c>
      <c r="C423" s="5" t="s">
        <v>274</v>
      </c>
      <c r="D423" s="5" t="s">
        <v>297</v>
      </c>
      <c r="E423" s="5" t="s">
        <v>20</v>
      </c>
      <c r="F423" s="6" t="n">
        <v>90</v>
      </c>
      <c r="G423" s="5" t="n">
        <v>15</v>
      </c>
      <c r="H423" s="7" t="n">
        <v>1.46</v>
      </c>
      <c r="I423" s="6" t="n">
        <f aca="false">IF(G423="","",ROUND(F423*(100-G423)/100,0))</f>
        <v>77</v>
      </c>
      <c r="J423" s="5" t="str">
        <f aca="false">IF(G423="","Needs KD",IF(D423&lt;&gt;"Client","Not a buyer",IF(AND(G423&lt;=25,F423&gt;=500),"P1 Quick Win",IF(AND(G423&lt;=35,F423&gt;=200),"P2 High Value",IF(G423&lt;=50,"P3 Build","P4 Long Term")))))</f>
        <v>Not a buyer</v>
      </c>
      <c r="K423" s="5" t="s">
        <v>298</v>
      </c>
      <c r="L423" s="5" t="s">
        <v>18</v>
      </c>
      <c r="M423" s="5"/>
    </row>
    <row r="424" customFormat="false" ht="15" hidden="false" customHeight="false" outlineLevel="0" collapsed="false">
      <c r="A424" s="5" t="n">
        <v>423</v>
      </c>
      <c r="B424" s="5" t="s">
        <v>472</v>
      </c>
      <c r="C424" s="5" t="s">
        <v>274</v>
      </c>
      <c r="D424" s="5" t="s">
        <v>297</v>
      </c>
      <c r="E424" s="5" t="s">
        <v>44</v>
      </c>
      <c r="F424" s="6" t="n">
        <v>90</v>
      </c>
      <c r="G424" s="5" t="n">
        <v>11</v>
      </c>
      <c r="H424" s="7" t="n">
        <v>7.22</v>
      </c>
      <c r="I424" s="6" t="n">
        <f aca="false">IF(G424="","",ROUND(F424*(100-G424)/100,0))</f>
        <v>80</v>
      </c>
      <c r="J424" s="5" t="str">
        <f aca="false">IF(G424="","Needs KD",IF(D424&lt;&gt;"Client","Not a buyer",IF(AND(G424&lt;=25,F424&gt;=500),"P1 Quick Win",IF(AND(G424&lt;=35,F424&gt;=200),"P2 High Value",IF(G424&lt;=50,"P3 Build","P4 Long Term")))))</f>
        <v>Not a buyer</v>
      </c>
      <c r="K424" s="5" t="s">
        <v>298</v>
      </c>
      <c r="L424" s="5" t="s">
        <v>18</v>
      </c>
      <c r="M424" s="5"/>
    </row>
    <row r="425" customFormat="false" ht="15" hidden="false" customHeight="false" outlineLevel="0" collapsed="false">
      <c r="A425" s="5" t="n">
        <v>424</v>
      </c>
      <c r="B425" s="5" t="s">
        <v>473</v>
      </c>
      <c r="C425" s="5" t="s">
        <v>274</v>
      </c>
      <c r="D425" s="5" t="s">
        <v>297</v>
      </c>
      <c r="E425" s="5" t="s">
        <v>20</v>
      </c>
      <c r="F425" s="6" t="n">
        <v>90</v>
      </c>
      <c r="G425" s="5" t="n">
        <v>10</v>
      </c>
      <c r="H425" s="7" t="n">
        <v>9.23</v>
      </c>
      <c r="I425" s="6" t="n">
        <f aca="false">IF(G425="","",ROUND(F425*(100-G425)/100,0))</f>
        <v>81</v>
      </c>
      <c r="J425" s="5" t="str">
        <f aca="false">IF(G425="","Needs KD",IF(D425&lt;&gt;"Client","Not a buyer",IF(AND(G425&lt;=25,F425&gt;=500),"P1 Quick Win",IF(AND(G425&lt;=35,F425&gt;=200),"P2 High Value",IF(G425&lt;=50,"P3 Build","P4 Long Term")))))</f>
        <v>Not a buyer</v>
      </c>
      <c r="K425" s="5" t="s">
        <v>298</v>
      </c>
      <c r="L425" s="5" t="s">
        <v>18</v>
      </c>
      <c r="M425" s="5"/>
    </row>
    <row r="426" customFormat="false" ht="15" hidden="false" customHeight="false" outlineLevel="0" collapsed="false">
      <c r="A426" s="5" t="n">
        <v>425</v>
      </c>
      <c r="B426" s="5" t="s">
        <v>474</v>
      </c>
      <c r="C426" s="5" t="s">
        <v>274</v>
      </c>
      <c r="D426" s="5" t="s">
        <v>297</v>
      </c>
      <c r="E426" s="5" t="s">
        <v>20</v>
      </c>
      <c r="F426" s="6" t="n">
        <v>90</v>
      </c>
      <c r="G426" s="5" t="n">
        <v>12</v>
      </c>
      <c r="H426" s="7" t="n">
        <v>4.22</v>
      </c>
      <c r="I426" s="6" t="n">
        <f aca="false">IF(G426="","",ROUND(F426*(100-G426)/100,0))</f>
        <v>79</v>
      </c>
      <c r="J426" s="5" t="str">
        <f aca="false">IF(G426="","Needs KD",IF(D426&lt;&gt;"Client","Not a buyer",IF(AND(G426&lt;=25,F426&gt;=500),"P1 Quick Win",IF(AND(G426&lt;=35,F426&gt;=200),"P2 High Value",IF(G426&lt;=50,"P3 Build","P4 Long Term")))))</f>
        <v>Not a buyer</v>
      </c>
      <c r="K426" s="5" t="s">
        <v>298</v>
      </c>
      <c r="L426" s="5" t="s">
        <v>18</v>
      </c>
      <c r="M426" s="5"/>
    </row>
  </sheetData>
  <autoFilter ref="A1:M4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8" t="s">
        <v>475</v>
      </c>
    </row>
    <row r="2" customFormat="false" ht="15" hidden="false" customHeight="false" outlineLevel="0" collapsed="false">
      <c r="A2" s="9" t="s">
        <v>476</v>
      </c>
    </row>
    <row r="4" customFormat="false" ht="15" hidden="false" customHeight="false" outlineLevel="0" collapsed="false">
      <c r="A4" s="1" t="s">
        <v>477</v>
      </c>
      <c r="B4" s="1" t="s">
        <v>1</v>
      </c>
      <c r="C4" s="1" t="s">
        <v>2</v>
      </c>
      <c r="D4" s="1" t="s">
        <v>5</v>
      </c>
      <c r="E4" s="1" t="s">
        <v>6</v>
      </c>
      <c r="F4" s="1" t="s">
        <v>478</v>
      </c>
      <c r="G4" s="1" t="s">
        <v>479</v>
      </c>
      <c r="H4" s="1" t="s">
        <v>10</v>
      </c>
    </row>
    <row r="5" customFormat="false" ht="15" hidden="false" customHeight="false" outlineLevel="0" collapsed="false">
      <c r="A5" s="2" t="n">
        <v>1</v>
      </c>
      <c r="B5" s="2" t="s">
        <v>22</v>
      </c>
      <c r="C5" s="2" t="s">
        <v>14</v>
      </c>
      <c r="D5" s="3" t="n">
        <v>18100</v>
      </c>
      <c r="E5" s="2" t="n">
        <v>26</v>
      </c>
      <c r="F5" s="4" t="n">
        <v>0.99</v>
      </c>
      <c r="G5" s="3" t="n">
        <f aca="false">ROUND(D5*(100-E5)/100,0)</f>
        <v>13394</v>
      </c>
      <c r="H5" s="2" t="s">
        <v>23</v>
      </c>
    </row>
    <row r="6" customFormat="false" ht="15" hidden="false" customHeight="false" outlineLevel="0" collapsed="false">
      <c r="A6" s="10" t="n">
        <v>2</v>
      </c>
      <c r="B6" s="10" t="s">
        <v>24</v>
      </c>
      <c r="C6" s="10" t="s">
        <v>14</v>
      </c>
      <c r="D6" s="11" t="n">
        <v>14800</v>
      </c>
      <c r="E6" s="10" t="n">
        <v>19</v>
      </c>
      <c r="F6" s="12" t="n">
        <v>2.63</v>
      </c>
      <c r="G6" s="11" t="n">
        <f aca="false">ROUND(D6*(100-E6)/100,0)</f>
        <v>11988</v>
      </c>
      <c r="H6" s="10" t="s">
        <v>25</v>
      </c>
    </row>
    <row r="7" customFormat="false" ht="15" hidden="false" customHeight="false" outlineLevel="0" collapsed="false">
      <c r="A7" s="10" t="n">
        <v>3</v>
      </c>
      <c r="B7" s="10" t="s">
        <v>26</v>
      </c>
      <c r="C7" s="10" t="s">
        <v>14</v>
      </c>
      <c r="D7" s="11" t="n">
        <v>6600</v>
      </c>
      <c r="E7" s="10" t="n">
        <v>17</v>
      </c>
      <c r="F7" s="12" t="n">
        <v>1.62</v>
      </c>
      <c r="G7" s="11" t="n">
        <f aca="false">ROUND(D7*(100-E7)/100,0)</f>
        <v>5478</v>
      </c>
      <c r="H7" s="10" t="s">
        <v>23</v>
      </c>
    </row>
    <row r="8" customFormat="false" ht="15" hidden="false" customHeight="false" outlineLevel="0" collapsed="false">
      <c r="A8" s="2" t="n">
        <v>4</v>
      </c>
      <c r="B8" s="2" t="s">
        <v>27</v>
      </c>
      <c r="C8" s="2" t="s">
        <v>14</v>
      </c>
      <c r="D8" s="3" t="n">
        <v>6600</v>
      </c>
      <c r="E8" s="2" t="n">
        <v>30</v>
      </c>
      <c r="F8" s="4" t="n">
        <v>0</v>
      </c>
      <c r="G8" s="3" t="n">
        <f aca="false">ROUND(D8*(100-E8)/100,0)</f>
        <v>4620</v>
      </c>
      <c r="H8" s="2" t="s">
        <v>23</v>
      </c>
    </row>
    <row r="9" customFormat="false" ht="15" hidden="false" customHeight="false" outlineLevel="0" collapsed="false">
      <c r="A9" s="10" t="n">
        <v>5</v>
      </c>
      <c r="B9" s="10" t="s">
        <v>29</v>
      </c>
      <c r="C9" s="10" t="s">
        <v>14</v>
      </c>
      <c r="D9" s="11" t="n">
        <v>5400</v>
      </c>
      <c r="E9" s="10" t="n">
        <v>16</v>
      </c>
      <c r="F9" s="12" t="n">
        <v>2</v>
      </c>
      <c r="G9" s="11" t="n">
        <f aca="false">ROUND(D9*(100-E9)/100,0)</f>
        <v>4536</v>
      </c>
      <c r="H9" s="10" t="s">
        <v>23</v>
      </c>
    </row>
    <row r="10" customFormat="false" ht="15" hidden="false" customHeight="false" outlineLevel="0" collapsed="false">
      <c r="A10" s="2" t="n">
        <v>6</v>
      </c>
      <c r="B10" s="2" t="s">
        <v>30</v>
      </c>
      <c r="C10" s="2" t="s">
        <v>14</v>
      </c>
      <c r="D10" s="3" t="n">
        <v>5400</v>
      </c>
      <c r="E10" s="2" t="n">
        <v>26</v>
      </c>
      <c r="F10" s="4" t="n">
        <v>0</v>
      </c>
      <c r="G10" s="3" t="n">
        <f aca="false">ROUND(D10*(100-E10)/100,0)</f>
        <v>3996</v>
      </c>
      <c r="H10" s="2" t="s">
        <v>23</v>
      </c>
    </row>
    <row r="11" customFormat="false" ht="15" hidden="false" customHeight="false" outlineLevel="0" collapsed="false">
      <c r="A11" s="2" t="n">
        <v>7</v>
      </c>
      <c r="B11" s="2" t="s">
        <v>31</v>
      </c>
      <c r="C11" s="2" t="s">
        <v>14</v>
      </c>
      <c r="D11" s="3" t="n">
        <v>5400</v>
      </c>
      <c r="E11" s="2" t="n">
        <v>28</v>
      </c>
      <c r="F11" s="4" t="n">
        <v>0.92</v>
      </c>
      <c r="G11" s="3" t="n">
        <f aca="false">ROUND(D11*(100-E11)/100,0)</f>
        <v>3888</v>
      </c>
      <c r="H11" s="2" t="s">
        <v>17</v>
      </c>
    </row>
    <row r="12" customFormat="false" ht="15" hidden="false" customHeight="false" outlineLevel="0" collapsed="false">
      <c r="A12" s="2" t="n">
        <v>8</v>
      </c>
      <c r="B12" s="2" t="s">
        <v>32</v>
      </c>
      <c r="C12" s="2" t="s">
        <v>14</v>
      </c>
      <c r="D12" s="3" t="n">
        <v>4400</v>
      </c>
      <c r="E12" s="2" t="n">
        <v>22</v>
      </c>
      <c r="F12" s="4" t="n">
        <v>1.17</v>
      </c>
      <c r="G12" s="3" t="n">
        <f aca="false">ROUND(D12*(100-E12)/100,0)</f>
        <v>3432</v>
      </c>
      <c r="H12" s="2" t="s">
        <v>23</v>
      </c>
    </row>
    <row r="13" customFormat="false" ht="15" hidden="false" customHeight="false" outlineLevel="0" collapsed="false">
      <c r="A13" s="2" t="n">
        <v>9</v>
      </c>
      <c r="B13" s="2" t="s">
        <v>33</v>
      </c>
      <c r="C13" s="2" t="s">
        <v>14</v>
      </c>
      <c r="D13" s="3" t="n">
        <v>4400</v>
      </c>
      <c r="E13" s="2" t="n">
        <v>23</v>
      </c>
      <c r="F13" s="4" t="n">
        <v>0.41</v>
      </c>
      <c r="G13" s="3" t="n">
        <f aca="false">ROUND(D13*(100-E13)/100,0)</f>
        <v>3388</v>
      </c>
      <c r="H13" s="2" t="s">
        <v>23</v>
      </c>
    </row>
    <row r="14" customFormat="false" ht="15" hidden="false" customHeight="false" outlineLevel="0" collapsed="false">
      <c r="A14" s="2" t="n">
        <v>10</v>
      </c>
      <c r="B14" s="2" t="s">
        <v>35</v>
      </c>
      <c r="C14" s="2" t="s">
        <v>14</v>
      </c>
      <c r="D14" s="3" t="n">
        <v>4400</v>
      </c>
      <c r="E14" s="2" t="n">
        <v>23</v>
      </c>
      <c r="F14" s="4" t="n">
        <v>0</v>
      </c>
      <c r="G14" s="3" t="n">
        <f aca="false">ROUND(D14*(100-E14)/100,0)</f>
        <v>3388</v>
      </c>
      <c r="H14" s="2" t="s">
        <v>23</v>
      </c>
    </row>
    <row r="15" customFormat="false" ht="15" hidden="false" customHeight="false" outlineLevel="0" collapsed="false">
      <c r="A15" s="2" t="n">
        <v>11</v>
      </c>
      <c r="B15" s="2" t="s">
        <v>43</v>
      </c>
      <c r="C15" s="2" t="s">
        <v>14</v>
      </c>
      <c r="D15" s="3" t="n">
        <v>2900</v>
      </c>
      <c r="E15" s="2" t="n">
        <v>22</v>
      </c>
      <c r="F15" s="4" t="n">
        <v>0.68</v>
      </c>
      <c r="G15" s="3" t="n">
        <f aca="false">ROUND(D15*(100-E15)/100,0)</f>
        <v>2262</v>
      </c>
      <c r="H15" s="2" t="s">
        <v>45</v>
      </c>
    </row>
    <row r="16" customFormat="false" ht="15" hidden="false" customHeight="false" outlineLevel="0" collapsed="false">
      <c r="A16" s="2" t="n">
        <v>12</v>
      </c>
      <c r="B16" s="2" t="s">
        <v>40</v>
      </c>
      <c r="C16" s="2" t="s">
        <v>14</v>
      </c>
      <c r="D16" s="3" t="n">
        <v>2900</v>
      </c>
      <c r="E16" s="2" t="n">
        <v>29</v>
      </c>
      <c r="F16" s="4" t="n">
        <v>0.21</v>
      </c>
      <c r="G16" s="3" t="n">
        <f aca="false">ROUND(D16*(100-E16)/100,0)</f>
        <v>2059</v>
      </c>
      <c r="H16" s="2" t="s">
        <v>41</v>
      </c>
    </row>
    <row r="17" customFormat="false" ht="15" hidden="false" customHeight="false" outlineLevel="0" collapsed="false">
      <c r="A17" s="2" t="n">
        <v>13</v>
      </c>
      <c r="B17" s="2" t="s">
        <v>46</v>
      </c>
      <c r="C17" s="2" t="s">
        <v>14</v>
      </c>
      <c r="D17" s="3" t="n">
        <v>2400</v>
      </c>
      <c r="E17" s="2" t="n">
        <v>27</v>
      </c>
      <c r="F17" s="4" t="n">
        <v>0.2</v>
      </c>
      <c r="G17" s="3" t="n">
        <f aca="false">ROUND(D17*(100-E17)/100,0)</f>
        <v>1752</v>
      </c>
      <c r="H17" s="2" t="s">
        <v>21</v>
      </c>
    </row>
    <row r="18" customFormat="false" ht="15" hidden="false" customHeight="false" outlineLevel="0" collapsed="false">
      <c r="A18" s="10" t="n">
        <v>14</v>
      </c>
      <c r="B18" s="10" t="s">
        <v>49</v>
      </c>
      <c r="C18" s="10" t="s">
        <v>14</v>
      </c>
      <c r="D18" s="11" t="n">
        <v>1900</v>
      </c>
      <c r="E18" s="10" t="n">
        <v>18</v>
      </c>
      <c r="F18" s="12" t="n">
        <v>0.55</v>
      </c>
      <c r="G18" s="11" t="n">
        <f aca="false">ROUND(D18*(100-E18)/100,0)</f>
        <v>1558</v>
      </c>
      <c r="H18" s="10" t="s">
        <v>41</v>
      </c>
    </row>
    <row r="19" customFormat="false" ht="15" hidden="false" customHeight="false" outlineLevel="0" collapsed="false">
      <c r="A19" s="2" t="n">
        <v>15</v>
      </c>
      <c r="B19" s="2" t="s">
        <v>47</v>
      </c>
      <c r="C19" s="2" t="s">
        <v>14</v>
      </c>
      <c r="D19" s="3" t="n">
        <v>1900</v>
      </c>
      <c r="E19" s="2" t="n">
        <v>21</v>
      </c>
      <c r="F19" s="4" t="n">
        <v>1.17</v>
      </c>
      <c r="G19" s="3" t="n">
        <f aca="false">ROUND(D19*(100-E19)/100,0)</f>
        <v>1501</v>
      </c>
      <c r="H19" s="2" t="s">
        <v>23</v>
      </c>
    </row>
    <row r="20" customFormat="false" ht="15" hidden="false" customHeight="false" outlineLevel="0" collapsed="false">
      <c r="A20" s="2" t="n">
        <v>16</v>
      </c>
      <c r="B20" s="2" t="s">
        <v>50</v>
      </c>
      <c r="C20" s="2" t="s">
        <v>14</v>
      </c>
      <c r="D20" s="3" t="n">
        <v>1900</v>
      </c>
      <c r="E20" s="2" t="n">
        <v>25</v>
      </c>
      <c r="F20" s="4" t="n">
        <v>0.35</v>
      </c>
      <c r="G20" s="3" t="n">
        <f aca="false">ROUND(D20*(100-E20)/100,0)</f>
        <v>1425</v>
      </c>
      <c r="H20" s="2" t="s">
        <v>41</v>
      </c>
    </row>
    <row r="21" customFormat="false" ht="15" hidden="false" customHeight="false" outlineLevel="0" collapsed="false">
      <c r="A21" s="10" t="n">
        <v>17</v>
      </c>
      <c r="B21" s="10" t="s">
        <v>51</v>
      </c>
      <c r="C21" s="10" t="s">
        <v>14</v>
      </c>
      <c r="D21" s="11" t="n">
        <v>1600</v>
      </c>
      <c r="E21" s="10" t="n">
        <v>16</v>
      </c>
      <c r="F21" s="12" t="n">
        <v>2.26</v>
      </c>
      <c r="G21" s="11" t="n">
        <f aca="false">ROUND(D21*(100-E21)/100,0)</f>
        <v>1344</v>
      </c>
      <c r="H21" s="10" t="s">
        <v>23</v>
      </c>
    </row>
    <row r="22" customFormat="false" ht="15" hidden="false" customHeight="false" outlineLevel="0" collapsed="false">
      <c r="A22" s="10" t="n">
        <v>18</v>
      </c>
      <c r="B22" s="10" t="s">
        <v>54</v>
      </c>
      <c r="C22" s="10" t="s">
        <v>14</v>
      </c>
      <c r="D22" s="11" t="n">
        <v>1600</v>
      </c>
      <c r="E22" s="10" t="n">
        <v>17</v>
      </c>
      <c r="F22" s="12" t="n">
        <v>0.89</v>
      </c>
      <c r="G22" s="11" t="n">
        <f aca="false">ROUND(D22*(100-E22)/100,0)</f>
        <v>1328</v>
      </c>
      <c r="H22" s="10" t="s">
        <v>45</v>
      </c>
    </row>
    <row r="23" customFormat="false" ht="15" hidden="false" customHeight="false" outlineLevel="0" collapsed="false">
      <c r="A23" s="10" t="n">
        <v>19</v>
      </c>
      <c r="B23" s="10" t="s">
        <v>278</v>
      </c>
      <c r="C23" s="10" t="s">
        <v>274</v>
      </c>
      <c r="D23" s="11" t="n">
        <v>1300</v>
      </c>
      <c r="E23" s="10" t="n">
        <v>12</v>
      </c>
      <c r="F23" s="12" t="n">
        <v>0.71</v>
      </c>
      <c r="G23" s="11" t="n">
        <f aca="false">ROUND(D23*(100-E23)/100,0)</f>
        <v>1144</v>
      </c>
      <c r="H23" s="10" t="s">
        <v>279</v>
      </c>
    </row>
    <row r="24" customFormat="false" ht="15" hidden="false" customHeight="false" outlineLevel="0" collapsed="false">
      <c r="A24" s="2" t="n">
        <v>20</v>
      </c>
      <c r="B24" s="2" t="s">
        <v>57</v>
      </c>
      <c r="C24" s="2" t="s">
        <v>14</v>
      </c>
      <c r="D24" s="3" t="n">
        <v>1300</v>
      </c>
      <c r="E24" s="2" t="n">
        <v>21</v>
      </c>
      <c r="F24" s="4" t="n">
        <v>0</v>
      </c>
      <c r="G24" s="3" t="n">
        <f aca="false">ROUND(D24*(100-E24)/100,0)</f>
        <v>1027</v>
      </c>
      <c r="H24" s="2" t="s">
        <v>23</v>
      </c>
    </row>
    <row r="25" customFormat="false" ht="15" hidden="false" customHeight="false" outlineLevel="0" collapsed="false">
      <c r="A25" s="2" t="n">
        <v>21</v>
      </c>
      <c r="B25" s="2" t="s">
        <v>58</v>
      </c>
      <c r="C25" s="2" t="s">
        <v>14</v>
      </c>
      <c r="D25" s="3" t="n">
        <v>1300</v>
      </c>
      <c r="E25" s="2" t="n">
        <v>27</v>
      </c>
      <c r="F25" s="4" t="n">
        <v>0</v>
      </c>
      <c r="G25" s="3" t="n">
        <f aca="false">ROUND(D25*(100-E25)/100,0)</f>
        <v>949</v>
      </c>
      <c r="H25" s="2" t="s">
        <v>23</v>
      </c>
    </row>
    <row r="26" customFormat="false" ht="15" hidden="false" customHeight="false" outlineLevel="0" collapsed="false">
      <c r="A26" s="10" t="n">
        <v>22</v>
      </c>
      <c r="B26" s="10" t="s">
        <v>65</v>
      </c>
      <c r="C26" s="10" t="s">
        <v>14</v>
      </c>
      <c r="D26" s="11" t="n">
        <v>1000</v>
      </c>
      <c r="E26" s="10" t="n">
        <v>9</v>
      </c>
      <c r="F26" s="12" t="n">
        <v>0</v>
      </c>
      <c r="G26" s="11" t="n">
        <f aca="false">ROUND(D26*(100-E26)/100,0)</f>
        <v>910</v>
      </c>
      <c r="H26" s="10" t="s">
        <v>23</v>
      </c>
    </row>
    <row r="27" customFormat="false" ht="15" hidden="false" customHeight="false" outlineLevel="0" collapsed="false">
      <c r="A27" s="10" t="n">
        <v>23</v>
      </c>
      <c r="B27" s="10" t="s">
        <v>280</v>
      </c>
      <c r="C27" s="10" t="s">
        <v>274</v>
      </c>
      <c r="D27" s="11" t="n">
        <v>1000</v>
      </c>
      <c r="E27" s="10" t="n">
        <v>15</v>
      </c>
      <c r="F27" s="12" t="n">
        <v>3.46</v>
      </c>
      <c r="G27" s="11" t="n">
        <f aca="false">ROUND(D27*(100-E27)/100,0)</f>
        <v>850</v>
      </c>
      <c r="H27" s="10" t="s">
        <v>281</v>
      </c>
    </row>
    <row r="28" customFormat="false" ht="15" hidden="false" customHeight="false" outlineLevel="0" collapsed="false">
      <c r="A28" s="10" t="n">
        <v>24</v>
      </c>
      <c r="B28" s="10" t="s">
        <v>282</v>
      </c>
      <c r="C28" s="10" t="s">
        <v>274</v>
      </c>
      <c r="D28" s="11" t="n">
        <v>1000</v>
      </c>
      <c r="E28" s="10" t="n">
        <v>15</v>
      </c>
      <c r="F28" s="12" t="n">
        <v>0.71</v>
      </c>
      <c r="G28" s="11" t="n">
        <f aca="false">ROUND(D28*(100-E28)/100,0)</f>
        <v>850</v>
      </c>
      <c r="H28" s="10" t="s">
        <v>279</v>
      </c>
    </row>
    <row r="29" customFormat="false" ht="15" hidden="false" customHeight="false" outlineLevel="0" collapsed="false">
      <c r="A29" s="10" t="n">
        <v>25</v>
      </c>
      <c r="B29" s="10" t="s">
        <v>70</v>
      </c>
      <c r="C29" s="10" t="s">
        <v>14</v>
      </c>
      <c r="D29" s="11" t="n">
        <v>880</v>
      </c>
      <c r="E29" s="10" t="n">
        <v>6</v>
      </c>
      <c r="F29" s="12" t="n">
        <v>0.83</v>
      </c>
      <c r="G29" s="11" t="n">
        <f aca="false">ROUND(D29*(100-E29)/100,0)</f>
        <v>827</v>
      </c>
      <c r="H29" s="10" t="s">
        <v>63</v>
      </c>
    </row>
    <row r="30" customFormat="false" ht="15" hidden="false" customHeight="false" outlineLevel="0" collapsed="false">
      <c r="A30" s="2" t="n">
        <v>26</v>
      </c>
      <c r="B30" s="2" t="s">
        <v>66</v>
      </c>
      <c r="C30" s="2" t="s">
        <v>14</v>
      </c>
      <c r="D30" s="3" t="n">
        <v>1000</v>
      </c>
      <c r="E30" s="2" t="n">
        <v>22</v>
      </c>
      <c r="F30" s="4" t="n">
        <v>0</v>
      </c>
      <c r="G30" s="3" t="n">
        <f aca="false">ROUND(D30*(100-E30)/100,0)</f>
        <v>780</v>
      </c>
      <c r="H30" s="2" t="s">
        <v>23</v>
      </c>
    </row>
    <row r="31" customFormat="false" ht="15" hidden="false" customHeight="false" outlineLevel="0" collapsed="false">
      <c r="A31" s="2" t="n">
        <v>27</v>
      </c>
      <c r="B31" s="2" t="s">
        <v>68</v>
      </c>
      <c r="C31" s="2" t="s">
        <v>14</v>
      </c>
      <c r="D31" s="3" t="n">
        <v>1000</v>
      </c>
      <c r="E31" s="2" t="n">
        <v>25</v>
      </c>
      <c r="F31" s="4" t="n">
        <v>0.88</v>
      </c>
      <c r="G31" s="3" t="n">
        <f aca="false">ROUND(D31*(100-E31)/100,0)</f>
        <v>750</v>
      </c>
      <c r="H31" s="2" t="s">
        <v>45</v>
      </c>
    </row>
    <row r="32" customFormat="false" ht="15" hidden="false" customHeight="false" outlineLevel="0" collapsed="false">
      <c r="A32" s="2" t="n">
        <v>28</v>
      </c>
      <c r="B32" s="2" t="s">
        <v>69</v>
      </c>
      <c r="C32" s="2" t="s">
        <v>14</v>
      </c>
      <c r="D32" s="3" t="n">
        <v>880</v>
      </c>
      <c r="E32" s="2" t="n">
        <v>22</v>
      </c>
      <c r="F32" s="4" t="n">
        <v>0</v>
      </c>
      <c r="G32" s="3" t="n">
        <f aca="false">ROUND(D32*(100-E32)/100,0)</f>
        <v>686</v>
      </c>
      <c r="H32" s="2" t="s">
        <v>23</v>
      </c>
    </row>
    <row r="33" customFormat="false" ht="15" hidden="false" customHeight="false" outlineLevel="0" collapsed="false">
      <c r="A33" s="10" t="n">
        <v>29</v>
      </c>
      <c r="B33" s="10" t="s">
        <v>75</v>
      </c>
      <c r="C33" s="10" t="s">
        <v>14</v>
      </c>
      <c r="D33" s="11" t="n">
        <v>720</v>
      </c>
      <c r="E33" s="10" t="n">
        <v>18</v>
      </c>
      <c r="F33" s="12" t="n">
        <v>0</v>
      </c>
      <c r="G33" s="11" t="n">
        <f aca="false">ROUND(D33*(100-E33)/100,0)</f>
        <v>590</v>
      </c>
      <c r="H33" s="10" t="s">
        <v>23</v>
      </c>
    </row>
    <row r="34" customFormat="false" ht="15" hidden="false" customHeight="false" outlineLevel="0" collapsed="false">
      <c r="A34" s="2" t="n">
        <v>30</v>
      </c>
      <c r="B34" s="2" t="s">
        <v>76</v>
      </c>
      <c r="C34" s="2" t="s">
        <v>14</v>
      </c>
      <c r="D34" s="3" t="n">
        <v>720</v>
      </c>
      <c r="E34" s="2" t="n">
        <v>22</v>
      </c>
      <c r="F34" s="4" t="n">
        <v>0.72</v>
      </c>
      <c r="G34" s="3" t="n">
        <f aca="false">ROUND(D34*(100-E34)/100,0)</f>
        <v>562</v>
      </c>
      <c r="H34" s="2" t="s">
        <v>41</v>
      </c>
    </row>
    <row r="35" customFormat="false" ht="15" hidden="false" customHeight="false" outlineLevel="0" collapsed="false">
      <c r="A35" s="2" t="n">
        <v>31</v>
      </c>
      <c r="B35" s="2" t="s">
        <v>77</v>
      </c>
      <c r="C35" s="2" t="s">
        <v>14</v>
      </c>
      <c r="D35" s="3" t="n">
        <v>720</v>
      </c>
      <c r="E35" s="2" t="n">
        <v>23</v>
      </c>
      <c r="F35" s="4" t="n">
        <v>0.69</v>
      </c>
      <c r="G35" s="3" t="n">
        <f aca="false">ROUND(D35*(100-E35)/100,0)</f>
        <v>554</v>
      </c>
      <c r="H35" s="2" t="s">
        <v>41</v>
      </c>
    </row>
    <row r="36" customFormat="false" ht="15" hidden="false" customHeight="false" outlineLevel="0" collapsed="false">
      <c r="A36" s="10" t="n">
        <v>32</v>
      </c>
      <c r="B36" s="10" t="s">
        <v>288</v>
      </c>
      <c r="C36" s="10" t="s">
        <v>274</v>
      </c>
      <c r="D36" s="11" t="n">
        <v>590</v>
      </c>
      <c r="E36" s="10" t="n">
        <v>10</v>
      </c>
      <c r="F36" s="12" t="n">
        <v>1.03</v>
      </c>
      <c r="G36" s="11" t="n">
        <f aca="false">ROUND(D36*(100-E36)/100,0)</f>
        <v>531</v>
      </c>
      <c r="H36" s="10" t="s">
        <v>281</v>
      </c>
    </row>
    <row r="37" customFormat="false" ht="15" hidden="false" customHeight="false" outlineLevel="0" collapsed="false">
      <c r="A37" s="10" t="n">
        <v>33</v>
      </c>
      <c r="B37" s="10" t="s">
        <v>84</v>
      </c>
      <c r="C37" s="10" t="s">
        <v>14</v>
      </c>
      <c r="D37" s="11" t="n">
        <v>590</v>
      </c>
      <c r="E37" s="10" t="n">
        <v>16</v>
      </c>
      <c r="F37" s="12" t="n">
        <v>2.12</v>
      </c>
      <c r="G37" s="11" t="n">
        <f aca="false">ROUND(D37*(100-E37)/100,0)</f>
        <v>496</v>
      </c>
      <c r="H37" s="10" t="s">
        <v>25</v>
      </c>
    </row>
    <row r="38" customFormat="false" ht="15" hidden="false" customHeight="false" outlineLevel="0" collapsed="false">
      <c r="A38" s="10" t="n">
        <v>34</v>
      </c>
      <c r="B38" s="10" t="s">
        <v>86</v>
      </c>
      <c r="C38" s="10" t="s">
        <v>14</v>
      </c>
      <c r="D38" s="11" t="n">
        <v>590</v>
      </c>
      <c r="E38" s="10" t="n">
        <v>18</v>
      </c>
      <c r="F38" s="12" t="n">
        <v>0.99</v>
      </c>
      <c r="G38" s="11" t="n">
        <f aca="false">ROUND(D38*(100-E38)/100,0)</f>
        <v>484</v>
      </c>
      <c r="H38" s="10" t="s">
        <v>23</v>
      </c>
    </row>
    <row r="39" customFormat="false" ht="15" hidden="false" customHeight="false" outlineLevel="0" collapsed="false">
      <c r="A39" s="10" t="n">
        <v>35</v>
      </c>
      <c r="B39" s="10" t="s">
        <v>89</v>
      </c>
      <c r="C39" s="10" t="s">
        <v>14</v>
      </c>
      <c r="D39" s="11" t="n">
        <v>590</v>
      </c>
      <c r="E39" s="10" t="n">
        <v>18</v>
      </c>
      <c r="F39" s="12" t="n">
        <v>0.77</v>
      </c>
      <c r="G39" s="11" t="n">
        <f aca="false">ROUND(D39*(100-E39)/100,0)</f>
        <v>484</v>
      </c>
      <c r="H39" s="10" t="s">
        <v>41</v>
      </c>
    </row>
    <row r="40" customFormat="false" ht="15" hidden="false" customHeight="false" outlineLevel="0" collapsed="false">
      <c r="A40" s="2" t="n">
        <v>36</v>
      </c>
      <c r="B40" s="2" t="s">
        <v>85</v>
      </c>
      <c r="C40" s="2" t="s">
        <v>14</v>
      </c>
      <c r="D40" s="3" t="n">
        <v>590</v>
      </c>
      <c r="E40" s="2" t="n">
        <v>24</v>
      </c>
      <c r="F40" s="4" t="n">
        <v>0</v>
      </c>
      <c r="G40" s="3" t="n">
        <f aca="false">ROUND(D40*(100-E40)/100,0)</f>
        <v>448</v>
      </c>
      <c r="H40" s="2" t="s">
        <v>23</v>
      </c>
    </row>
    <row r="41" customFormat="false" ht="15" hidden="false" customHeight="false" outlineLevel="0" collapsed="false">
      <c r="A41" s="2" t="n">
        <v>37</v>
      </c>
      <c r="B41" s="2" t="s">
        <v>94</v>
      </c>
      <c r="C41" s="2" t="s">
        <v>14</v>
      </c>
      <c r="D41" s="3" t="n">
        <v>590</v>
      </c>
      <c r="E41" s="2" t="n">
        <v>28</v>
      </c>
      <c r="F41" s="4" t="n">
        <v>0.71</v>
      </c>
      <c r="G41" s="3" t="n">
        <f aca="false">ROUND(D41*(100-E41)/100,0)</f>
        <v>425</v>
      </c>
      <c r="H41" s="2" t="s">
        <v>45</v>
      </c>
    </row>
    <row r="42" customFormat="false" ht="15" hidden="false" customHeight="false" outlineLevel="0" collapsed="false">
      <c r="A42" s="10" t="n">
        <v>38</v>
      </c>
      <c r="B42" s="10" t="s">
        <v>101</v>
      </c>
      <c r="C42" s="10" t="s">
        <v>14</v>
      </c>
      <c r="D42" s="11" t="n">
        <v>480</v>
      </c>
      <c r="E42" s="10" t="n">
        <v>20</v>
      </c>
      <c r="F42" s="12" t="n">
        <v>0.51</v>
      </c>
      <c r="G42" s="11" t="n">
        <f aca="false">ROUND(D42*(100-E42)/100,0)</f>
        <v>384</v>
      </c>
      <c r="H42" s="10" t="s">
        <v>45</v>
      </c>
    </row>
    <row r="43" customFormat="false" ht="15" hidden="false" customHeight="false" outlineLevel="0" collapsed="false">
      <c r="A43" s="2" t="n">
        <v>39</v>
      </c>
      <c r="B43" s="2" t="s">
        <v>100</v>
      </c>
      <c r="C43" s="2" t="s">
        <v>14</v>
      </c>
      <c r="D43" s="3" t="n">
        <v>480</v>
      </c>
      <c r="E43" s="2" t="n">
        <v>21</v>
      </c>
      <c r="F43" s="4" t="n">
        <v>0.69</v>
      </c>
      <c r="G43" s="3" t="n">
        <f aca="false">ROUND(D43*(100-E43)/100,0)</f>
        <v>379</v>
      </c>
      <c r="H43" s="2" t="s">
        <v>45</v>
      </c>
    </row>
    <row r="44" customFormat="false" ht="15" hidden="false" customHeight="false" outlineLevel="0" collapsed="false">
      <c r="A44" s="2" t="n">
        <v>40</v>
      </c>
      <c r="B44" s="2" t="s">
        <v>95</v>
      </c>
      <c r="C44" s="2" t="s">
        <v>14</v>
      </c>
      <c r="D44" s="3" t="n">
        <v>480</v>
      </c>
      <c r="E44" s="2" t="n">
        <v>23</v>
      </c>
      <c r="F44" s="4" t="n">
        <v>0</v>
      </c>
      <c r="G44" s="3" t="n">
        <f aca="false">ROUND(D44*(100-E44)/100,0)</f>
        <v>370</v>
      </c>
      <c r="H44" s="2" t="s">
        <v>23</v>
      </c>
    </row>
    <row r="45" customFormat="false" ht="15" hidden="false" customHeight="false" outlineLevel="0" collapsed="false">
      <c r="A45" s="2" t="n">
        <v>41</v>
      </c>
      <c r="B45" s="2" t="s">
        <v>97</v>
      </c>
      <c r="C45" s="2" t="s">
        <v>14</v>
      </c>
      <c r="D45" s="3" t="n">
        <v>480</v>
      </c>
      <c r="E45" s="2" t="n">
        <v>26</v>
      </c>
      <c r="F45" s="4" t="n">
        <v>0.14</v>
      </c>
      <c r="G45" s="3" t="n">
        <f aca="false">ROUND(D45*(100-E45)/100,0)</f>
        <v>355</v>
      </c>
      <c r="H45" s="2" t="s">
        <v>41</v>
      </c>
    </row>
    <row r="46" customFormat="false" ht="15" hidden="false" customHeight="false" outlineLevel="0" collapsed="false">
      <c r="A46" s="2" t="n">
        <v>42</v>
      </c>
      <c r="B46" s="2" t="s">
        <v>98</v>
      </c>
      <c r="C46" s="2" t="s">
        <v>14</v>
      </c>
      <c r="D46" s="3" t="n">
        <v>480</v>
      </c>
      <c r="E46" s="2" t="n">
        <v>26</v>
      </c>
      <c r="F46" s="4" t="n">
        <v>0</v>
      </c>
      <c r="G46" s="3" t="n">
        <f aca="false">ROUND(D46*(100-E46)/100,0)</f>
        <v>355</v>
      </c>
      <c r="H46" s="2" t="s">
        <v>41</v>
      </c>
    </row>
    <row r="47" customFormat="false" ht="15" hidden="false" customHeight="false" outlineLevel="0" collapsed="false">
      <c r="A47" s="10" t="n">
        <v>43</v>
      </c>
      <c r="B47" s="10" t="s">
        <v>302</v>
      </c>
      <c r="C47" s="10" t="s">
        <v>274</v>
      </c>
      <c r="D47" s="11" t="n">
        <v>390</v>
      </c>
      <c r="E47" s="10" t="n">
        <v>10</v>
      </c>
      <c r="F47" s="12" t="n">
        <v>1.34</v>
      </c>
      <c r="G47" s="11" t="n">
        <f aca="false">ROUND(D47*(100-E47)/100,0)</f>
        <v>351</v>
      </c>
      <c r="H47" s="10" t="s">
        <v>303</v>
      </c>
    </row>
    <row r="48" customFormat="false" ht="15" hidden="false" customHeight="false" outlineLevel="0" collapsed="false">
      <c r="A48" s="10" t="n">
        <v>44</v>
      </c>
      <c r="B48" s="10" t="s">
        <v>300</v>
      </c>
      <c r="C48" s="10" t="s">
        <v>274</v>
      </c>
      <c r="D48" s="11" t="n">
        <v>390</v>
      </c>
      <c r="E48" s="10" t="n">
        <v>11</v>
      </c>
      <c r="F48" s="12" t="n">
        <v>0.93</v>
      </c>
      <c r="G48" s="11" t="n">
        <f aca="false">ROUND(D48*(100-E48)/100,0)</f>
        <v>347</v>
      </c>
      <c r="H48" s="10" t="s">
        <v>281</v>
      </c>
    </row>
    <row r="49" customFormat="false" ht="15" hidden="false" customHeight="false" outlineLevel="0" collapsed="false">
      <c r="A49" s="10" t="n">
        <v>45</v>
      </c>
      <c r="B49" s="10" t="s">
        <v>301</v>
      </c>
      <c r="C49" s="10" t="s">
        <v>274</v>
      </c>
      <c r="D49" s="11" t="n">
        <v>390</v>
      </c>
      <c r="E49" s="10" t="n">
        <v>12</v>
      </c>
      <c r="F49" s="12" t="n">
        <v>0.59</v>
      </c>
      <c r="G49" s="11" t="n">
        <f aca="false">ROUND(D49*(100-E49)/100,0)</f>
        <v>343</v>
      </c>
      <c r="H49" s="10" t="s">
        <v>279</v>
      </c>
    </row>
    <row r="50" customFormat="false" ht="15" hidden="false" customHeight="false" outlineLevel="0" collapsed="false">
      <c r="A50" s="10" t="n">
        <v>46</v>
      </c>
      <c r="B50" s="10" t="s">
        <v>104</v>
      </c>
      <c r="C50" s="10" t="s">
        <v>14</v>
      </c>
      <c r="D50" s="11" t="n">
        <v>390</v>
      </c>
      <c r="E50" s="10" t="n">
        <v>13</v>
      </c>
      <c r="F50" s="12" t="n">
        <v>0</v>
      </c>
      <c r="G50" s="11" t="n">
        <f aca="false">ROUND(D50*(100-E50)/100,0)</f>
        <v>339</v>
      </c>
      <c r="H50" s="10" t="s">
        <v>23</v>
      </c>
    </row>
    <row r="51" customFormat="false" ht="15" hidden="false" customHeight="false" outlineLevel="0" collapsed="false">
      <c r="A51" s="10" t="n">
        <v>47</v>
      </c>
      <c r="B51" s="10" t="s">
        <v>105</v>
      </c>
      <c r="C51" s="10" t="s">
        <v>14</v>
      </c>
      <c r="D51" s="11" t="n">
        <v>390</v>
      </c>
      <c r="E51" s="10" t="n">
        <v>14</v>
      </c>
      <c r="F51" s="12" t="n">
        <v>0</v>
      </c>
      <c r="G51" s="11" t="n">
        <f aca="false">ROUND(D51*(100-E51)/100,0)</f>
        <v>335</v>
      </c>
      <c r="H51" s="10" t="s">
        <v>23</v>
      </c>
    </row>
    <row r="52" customFormat="false" ht="15" hidden="false" customHeight="false" outlineLevel="0" collapsed="false">
      <c r="A52" s="10" t="n">
        <v>48</v>
      </c>
      <c r="B52" s="10" t="s">
        <v>115</v>
      </c>
      <c r="C52" s="10" t="s">
        <v>14</v>
      </c>
      <c r="D52" s="11" t="n">
        <v>390</v>
      </c>
      <c r="E52" s="10" t="n">
        <v>20</v>
      </c>
      <c r="F52" s="12" t="n">
        <v>0.76</v>
      </c>
      <c r="G52" s="11" t="n">
        <f aca="false">ROUND(D52*(100-E52)/100,0)</f>
        <v>312</v>
      </c>
      <c r="H52" s="10" t="s">
        <v>41</v>
      </c>
    </row>
    <row r="53" customFormat="false" ht="15" hidden="false" customHeight="false" outlineLevel="0" collapsed="false">
      <c r="A53" s="10" t="n">
        <v>49</v>
      </c>
      <c r="B53" s="10" t="s">
        <v>308</v>
      </c>
      <c r="C53" s="10" t="s">
        <v>274</v>
      </c>
      <c r="D53" s="11" t="n">
        <v>320</v>
      </c>
      <c r="E53" s="10" t="n">
        <v>11</v>
      </c>
      <c r="F53" s="12" t="n">
        <v>1.14</v>
      </c>
      <c r="G53" s="11" t="n">
        <f aca="false">ROUND(D53*(100-E53)/100,0)</f>
        <v>285</v>
      </c>
      <c r="H53" s="10" t="s">
        <v>281</v>
      </c>
    </row>
    <row r="54" customFormat="false" ht="15" hidden="false" customHeight="false" outlineLevel="0" collapsed="false">
      <c r="A54" s="2" t="n">
        <v>50</v>
      </c>
      <c r="B54" s="2" t="s">
        <v>116</v>
      </c>
      <c r="C54" s="2" t="s">
        <v>14</v>
      </c>
      <c r="D54" s="3" t="n">
        <v>390</v>
      </c>
      <c r="E54" s="2" t="n">
        <v>28</v>
      </c>
      <c r="F54" s="4" t="n">
        <v>0</v>
      </c>
      <c r="G54" s="3" t="n">
        <f aca="false">ROUND(D54*(100-E54)/100,0)</f>
        <v>281</v>
      </c>
      <c r="H54" s="2" t="s">
        <v>17</v>
      </c>
    </row>
    <row r="55" customFormat="false" ht="15" hidden="false" customHeight="false" outlineLevel="0" collapsed="false">
      <c r="A55" s="10" t="n">
        <v>51</v>
      </c>
      <c r="B55" s="10" t="s">
        <v>123</v>
      </c>
      <c r="C55" s="10" t="s">
        <v>14</v>
      </c>
      <c r="D55" s="11" t="n">
        <v>320</v>
      </c>
      <c r="E55" s="10" t="n">
        <v>13</v>
      </c>
      <c r="F55" s="12" t="n">
        <v>0</v>
      </c>
      <c r="G55" s="11" t="n">
        <f aca="false">ROUND(D55*(100-E55)/100,0)</f>
        <v>278</v>
      </c>
      <c r="H55" s="10" t="s">
        <v>25</v>
      </c>
    </row>
    <row r="56" customFormat="false" ht="15" hidden="false" customHeight="false" outlineLevel="0" collapsed="false">
      <c r="A56" s="10" t="n">
        <v>52</v>
      </c>
      <c r="B56" s="10" t="s">
        <v>307</v>
      </c>
      <c r="C56" s="10" t="s">
        <v>274</v>
      </c>
      <c r="D56" s="11" t="n">
        <v>320</v>
      </c>
      <c r="E56" s="10" t="n">
        <v>13</v>
      </c>
      <c r="F56" s="12" t="n">
        <v>0.99</v>
      </c>
      <c r="G56" s="11" t="n">
        <f aca="false">ROUND(D56*(100-E56)/100,0)</f>
        <v>278</v>
      </c>
      <c r="H56" s="10" t="s">
        <v>281</v>
      </c>
    </row>
    <row r="57" customFormat="false" ht="15" hidden="false" customHeight="false" outlineLevel="0" collapsed="false">
      <c r="A57" s="2" t="n">
        <v>53</v>
      </c>
      <c r="B57" s="2" t="s">
        <v>118</v>
      </c>
      <c r="C57" s="2" t="s">
        <v>14</v>
      </c>
      <c r="D57" s="3" t="n">
        <v>390</v>
      </c>
      <c r="E57" s="2" t="n">
        <v>29</v>
      </c>
      <c r="F57" s="4" t="n">
        <v>0</v>
      </c>
      <c r="G57" s="3" t="n">
        <f aca="false">ROUND(D57*(100-E57)/100,0)</f>
        <v>277</v>
      </c>
      <c r="H57" s="2" t="s">
        <v>63</v>
      </c>
    </row>
    <row r="58" customFormat="false" ht="15" hidden="false" customHeight="false" outlineLevel="0" collapsed="false">
      <c r="A58" s="2" t="n">
        <v>54</v>
      </c>
      <c r="B58" s="2" t="s">
        <v>119</v>
      </c>
      <c r="C58" s="2" t="s">
        <v>14</v>
      </c>
      <c r="D58" s="3" t="n">
        <v>390</v>
      </c>
      <c r="E58" s="2" t="n">
        <v>29</v>
      </c>
      <c r="F58" s="4" t="n">
        <v>0.52</v>
      </c>
      <c r="G58" s="3" t="n">
        <f aca="false">ROUND(D58*(100-E58)/100,0)</f>
        <v>277</v>
      </c>
      <c r="H58" s="2" t="s">
        <v>45</v>
      </c>
    </row>
    <row r="59" customFormat="false" ht="15" hidden="false" customHeight="false" outlineLevel="0" collapsed="false">
      <c r="A59" s="2" t="n">
        <v>55</v>
      </c>
      <c r="B59" s="2" t="s">
        <v>106</v>
      </c>
      <c r="C59" s="2" t="s">
        <v>14</v>
      </c>
      <c r="D59" s="3" t="n">
        <v>390</v>
      </c>
      <c r="E59" s="2" t="n">
        <v>30</v>
      </c>
      <c r="F59" s="4" t="n">
        <v>1.85</v>
      </c>
      <c r="G59" s="3" t="n">
        <f aca="false">ROUND(D59*(100-E59)/100,0)</f>
        <v>273</v>
      </c>
      <c r="H59" s="2" t="s">
        <v>23</v>
      </c>
    </row>
    <row r="60" customFormat="false" ht="15" hidden="false" customHeight="false" outlineLevel="0" collapsed="false">
      <c r="A60" s="10" t="n">
        <v>56</v>
      </c>
      <c r="B60" s="10" t="s">
        <v>129</v>
      </c>
      <c r="C60" s="10" t="s">
        <v>14</v>
      </c>
      <c r="D60" s="11" t="n">
        <v>320</v>
      </c>
      <c r="E60" s="10" t="n">
        <v>15</v>
      </c>
      <c r="F60" s="12" t="n">
        <v>0</v>
      </c>
      <c r="G60" s="11" t="n">
        <f aca="false">ROUND(D60*(100-E60)/100,0)</f>
        <v>272</v>
      </c>
      <c r="H60" s="10" t="s">
        <v>41</v>
      </c>
    </row>
    <row r="61" customFormat="false" ht="15" hidden="false" customHeight="false" outlineLevel="0" collapsed="false">
      <c r="A61" s="10" t="n">
        <v>57</v>
      </c>
      <c r="B61" s="10" t="s">
        <v>130</v>
      </c>
      <c r="C61" s="10" t="s">
        <v>14</v>
      </c>
      <c r="D61" s="11" t="n">
        <v>320</v>
      </c>
      <c r="E61" s="10" t="n">
        <v>15</v>
      </c>
      <c r="F61" s="12" t="n">
        <v>0.43</v>
      </c>
      <c r="G61" s="11" t="n">
        <f aca="false">ROUND(D61*(100-E61)/100,0)</f>
        <v>272</v>
      </c>
      <c r="H61" s="10" t="s">
        <v>41</v>
      </c>
    </row>
    <row r="62" customFormat="false" ht="15" hidden="false" customHeight="false" outlineLevel="0" collapsed="false">
      <c r="A62" s="10" t="n">
        <v>58</v>
      </c>
      <c r="B62" s="10" t="s">
        <v>133</v>
      </c>
      <c r="C62" s="10" t="s">
        <v>14</v>
      </c>
      <c r="D62" s="11" t="n">
        <v>320</v>
      </c>
      <c r="E62" s="10" t="n">
        <v>15</v>
      </c>
      <c r="F62" s="12" t="n">
        <v>0.17</v>
      </c>
      <c r="G62" s="11" t="n">
        <f aca="false">ROUND(D62*(100-E62)/100,0)</f>
        <v>272</v>
      </c>
      <c r="H62" s="10" t="s">
        <v>41</v>
      </c>
    </row>
    <row r="63" customFormat="false" ht="15" hidden="false" customHeight="false" outlineLevel="0" collapsed="false">
      <c r="A63" s="10" t="n">
        <v>59</v>
      </c>
      <c r="B63" s="10" t="s">
        <v>305</v>
      </c>
      <c r="C63" s="10" t="s">
        <v>274</v>
      </c>
      <c r="D63" s="11" t="n">
        <v>320</v>
      </c>
      <c r="E63" s="10" t="n">
        <v>15</v>
      </c>
      <c r="F63" s="12" t="n">
        <v>1.29</v>
      </c>
      <c r="G63" s="11" t="n">
        <f aca="false">ROUND(D63*(100-E63)/100,0)</f>
        <v>272</v>
      </c>
      <c r="H63" s="10" t="s">
        <v>281</v>
      </c>
    </row>
    <row r="64" customFormat="false" ht="15" hidden="false" customHeight="false" outlineLevel="0" collapsed="false">
      <c r="A64" s="10" t="n">
        <v>60</v>
      </c>
      <c r="B64" s="10" t="s">
        <v>306</v>
      </c>
      <c r="C64" s="10" t="s">
        <v>274</v>
      </c>
      <c r="D64" s="11" t="n">
        <v>320</v>
      </c>
      <c r="E64" s="10" t="n">
        <v>15</v>
      </c>
      <c r="F64" s="12" t="n">
        <v>0.99</v>
      </c>
      <c r="G64" s="11" t="n">
        <f aca="false">ROUND(D64*(100-E64)/100,0)</f>
        <v>272</v>
      </c>
      <c r="H64" s="10" t="s">
        <v>281</v>
      </c>
    </row>
    <row r="65" customFormat="false" ht="15" hidden="false" customHeight="false" outlineLevel="0" collapsed="false">
      <c r="A65" s="10" t="n">
        <v>61</v>
      </c>
      <c r="B65" s="10" t="s">
        <v>309</v>
      </c>
      <c r="C65" s="10" t="s">
        <v>274</v>
      </c>
      <c r="D65" s="11" t="n">
        <v>320</v>
      </c>
      <c r="E65" s="10" t="n">
        <v>15</v>
      </c>
      <c r="F65" s="12" t="n">
        <v>1.02</v>
      </c>
      <c r="G65" s="11" t="n">
        <f aca="false">ROUND(D65*(100-E65)/100,0)</f>
        <v>272</v>
      </c>
      <c r="H65" s="10" t="s">
        <v>281</v>
      </c>
    </row>
    <row r="66" customFormat="false" ht="15" hidden="false" customHeight="false" outlineLevel="0" collapsed="false">
      <c r="A66" s="10" t="n">
        <v>62</v>
      </c>
      <c r="B66" s="10" t="s">
        <v>137</v>
      </c>
      <c r="C66" s="10" t="s">
        <v>14</v>
      </c>
      <c r="D66" s="11" t="n">
        <v>320</v>
      </c>
      <c r="E66" s="10" t="n">
        <v>17</v>
      </c>
      <c r="F66" s="12" t="n">
        <v>0.84</v>
      </c>
      <c r="G66" s="11" t="n">
        <f aca="false">ROUND(D66*(100-E66)/100,0)</f>
        <v>266</v>
      </c>
      <c r="H66" s="10" t="s">
        <v>45</v>
      </c>
    </row>
    <row r="67" customFormat="false" ht="15" hidden="false" customHeight="false" outlineLevel="0" collapsed="false">
      <c r="A67" s="10" t="n">
        <v>63</v>
      </c>
      <c r="B67" s="10" t="s">
        <v>132</v>
      </c>
      <c r="C67" s="10" t="s">
        <v>14</v>
      </c>
      <c r="D67" s="11" t="n">
        <v>320</v>
      </c>
      <c r="E67" s="10" t="n">
        <v>18</v>
      </c>
      <c r="F67" s="12" t="n">
        <v>0.31</v>
      </c>
      <c r="G67" s="11" t="n">
        <f aca="false">ROUND(D67*(100-E67)/100,0)</f>
        <v>262</v>
      </c>
      <c r="H67" s="10" t="s">
        <v>41</v>
      </c>
    </row>
    <row r="68" customFormat="false" ht="15" hidden="false" customHeight="false" outlineLevel="0" collapsed="false">
      <c r="A68" s="10" t="n">
        <v>64</v>
      </c>
      <c r="B68" s="10" t="s">
        <v>131</v>
      </c>
      <c r="C68" s="10" t="s">
        <v>14</v>
      </c>
      <c r="D68" s="11" t="n">
        <v>320</v>
      </c>
      <c r="E68" s="10" t="n">
        <v>19</v>
      </c>
      <c r="F68" s="12" t="n">
        <v>0.34</v>
      </c>
      <c r="G68" s="11" t="n">
        <f aca="false">ROUND(D68*(100-E68)/100,0)</f>
        <v>259</v>
      </c>
      <c r="H68" s="10" t="s">
        <v>41</v>
      </c>
    </row>
    <row r="69" customFormat="false" ht="15" hidden="false" customHeight="false" outlineLevel="0" collapsed="false">
      <c r="A69" s="10" t="n">
        <v>65</v>
      </c>
      <c r="B69" s="10" t="s">
        <v>136</v>
      </c>
      <c r="C69" s="10" t="s">
        <v>14</v>
      </c>
      <c r="D69" s="11" t="n">
        <v>320</v>
      </c>
      <c r="E69" s="10" t="n">
        <v>19</v>
      </c>
      <c r="F69" s="12" t="n">
        <v>1.32</v>
      </c>
      <c r="G69" s="11" t="n">
        <f aca="false">ROUND(D69*(100-E69)/100,0)</f>
        <v>259</v>
      </c>
      <c r="H69" s="10" t="s">
        <v>45</v>
      </c>
    </row>
    <row r="70" customFormat="false" ht="15" hidden="false" customHeight="false" outlineLevel="0" collapsed="false">
      <c r="A70" s="10" t="n">
        <v>66</v>
      </c>
      <c r="B70" s="10" t="s">
        <v>124</v>
      </c>
      <c r="C70" s="10" t="s">
        <v>14</v>
      </c>
      <c r="D70" s="11" t="n">
        <v>320</v>
      </c>
      <c r="E70" s="10" t="n">
        <v>20</v>
      </c>
      <c r="F70" s="12" t="n">
        <v>0</v>
      </c>
      <c r="G70" s="11" t="n">
        <f aca="false">ROUND(D70*(100-E70)/100,0)</f>
        <v>256</v>
      </c>
      <c r="H70" s="10" t="s">
        <v>23</v>
      </c>
    </row>
    <row r="71" customFormat="false" ht="15" hidden="false" customHeight="false" outlineLevel="0" collapsed="false">
      <c r="A71" s="2" t="n">
        <v>67</v>
      </c>
      <c r="B71" s="2" t="s">
        <v>125</v>
      </c>
      <c r="C71" s="2" t="s">
        <v>14</v>
      </c>
      <c r="D71" s="3" t="n">
        <v>320</v>
      </c>
      <c r="E71" s="2" t="n">
        <v>21</v>
      </c>
      <c r="F71" s="4" t="n">
        <v>0</v>
      </c>
      <c r="G71" s="3" t="n">
        <f aca="false">ROUND(D71*(100-E71)/100,0)</f>
        <v>253</v>
      </c>
      <c r="H71" s="2" t="s">
        <v>23</v>
      </c>
    </row>
    <row r="72" customFormat="false" ht="15" hidden="false" customHeight="false" outlineLevel="0" collapsed="false">
      <c r="A72" s="2" t="n">
        <v>68</v>
      </c>
      <c r="B72" s="2" t="s">
        <v>122</v>
      </c>
      <c r="C72" s="2" t="s">
        <v>14</v>
      </c>
      <c r="D72" s="3" t="n">
        <v>320</v>
      </c>
      <c r="E72" s="2" t="n">
        <v>22</v>
      </c>
      <c r="F72" s="4" t="n">
        <v>0</v>
      </c>
      <c r="G72" s="3" t="n">
        <f aca="false">ROUND(D72*(100-E72)/100,0)</f>
        <v>250</v>
      </c>
      <c r="H72" s="2" t="s">
        <v>25</v>
      </c>
    </row>
    <row r="73" customFormat="false" ht="15" hidden="false" customHeight="false" outlineLevel="0" collapsed="false">
      <c r="A73" s="2" t="n">
        <v>69</v>
      </c>
      <c r="B73" s="2" t="s">
        <v>134</v>
      </c>
      <c r="C73" s="2" t="s">
        <v>14</v>
      </c>
      <c r="D73" s="3" t="n">
        <v>320</v>
      </c>
      <c r="E73" s="2" t="n">
        <v>24</v>
      </c>
      <c r="F73" s="4" t="n">
        <v>0</v>
      </c>
      <c r="G73" s="3" t="n">
        <f aca="false">ROUND(D73*(100-E73)/100,0)</f>
        <v>243</v>
      </c>
      <c r="H73" s="2" t="s">
        <v>17</v>
      </c>
    </row>
    <row r="74" customFormat="false" ht="15" hidden="false" customHeight="false" outlineLevel="0" collapsed="false">
      <c r="A74" s="10" t="n">
        <v>70</v>
      </c>
      <c r="B74" s="10" t="s">
        <v>317</v>
      </c>
      <c r="C74" s="10" t="s">
        <v>274</v>
      </c>
      <c r="D74" s="11" t="n">
        <v>260</v>
      </c>
      <c r="E74" s="10" t="n">
        <v>12</v>
      </c>
      <c r="F74" s="12" t="n">
        <v>1.05</v>
      </c>
      <c r="G74" s="11" t="n">
        <f aca="false">ROUND(D74*(100-E74)/100,0)</f>
        <v>229</v>
      </c>
      <c r="H74" s="10" t="s">
        <v>281</v>
      </c>
    </row>
    <row r="75" customFormat="false" ht="15" hidden="false" customHeight="false" outlineLevel="0" collapsed="false">
      <c r="A75" s="10" t="n">
        <v>71</v>
      </c>
      <c r="B75" s="10" t="s">
        <v>316</v>
      </c>
      <c r="C75" s="10" t="s">
        <v>274</v>
      </c>
      <c r="D75" s="11" t="n">
        <v>260</v>
      </c>
      <c r="E75" s="10" t="n">
        <v>13</v>
      </c>
      <c r="F75" s="12" t="n">
        <v>1.06</v>
      </c>
      <c r="G75" s="11" t="n">
        <f aca="false">ROUND(D75*(100-E75)/100,0)</f>
        <v>226</v>
      </c>
      <c r="H75" s="10" t="s">
        <v>281</v>
      </c>
    </row>
    <row r="76" customFormat="false" ht="15" hidden="false" customHeight="false" outlineLevel="0" collapsed="false">
      <c r="A76" s="10" t="n">
        <v>72</v>
      </c>
      <c r="B76" s="10" t="s">
        <v>315</v>
      </c>
      <c r="C76" s="10" t="s">
        <v>274</v>
      </c>
      <c r="D76" s="11" t="n">
        <v>260</v>
      </c>
      <c r="E76" s="10" t="n">
        <v>14</v>
      </c>
      <c r="F76" s="12" t="n">
        <v>0.92</v>
      </c>
      <c r="G76" s="11" t="n">
        <f aca="false">ROUND(D76*(100-E76)/100,0)</f>
        <v>224</v>
      </c>
      <c r="H76" s="10" t="s">
        <v>281</v>
      </c>
    </row>
    <row r="77" customFormat="false" ht="15" hidden="false" customHeight="false" outlineLevel="0" collapsed="false">
      <c r="A77" s="10" t="n">
        <v>73</v>
      </c>
      <c r="B77" s="10" t="s">
        <v>318</v>
      </c>
      <c r="C77" s="10" t="s">
        <v>274</v>
      </c>
      <c r="D77" s="11" t="n">
        <v>260</v>
      </c>
      <c r="E77" s="10" t="n">
        <v>14</v>
      </c>
      <c r="F77" s="12" t="n">
        <v>0.59</v>
      </c>
      <c r="G77" s="11" t="n">
        <f aca="false">ROUND(D77*(100-E77)/100,0)</f>
        <v>224</v>
      </c>
      <c r="H77" s="10" t="s">
        <v>279</v>
      </c>
    </row>
    <row r="78" customFormat="false" ht="15" hidden="false" customHeight="false" outlineLevel="0" collapsed="false">
      <c r="A78" s="10" t="n">
        <v>74</v>
      </c>
      <c r="B78" s="10" t="s">
        <v>143</v>
      </c>
      <c r="C78" s="10" t="s">
        <v>14</v>
      </c>
      <c r="D78" s="11" t="n">
        <v>260</v>
      </c>
      <c r="E78" s="10" t="n">
        <v>16</v>
      </c>
      <c r="F78" s="12" t="n">
        <v>0</v>
      </c>
      <c r="G78" s="11" t="n">
        <f aca="false">ROUND(D78*(100-E78)/100,0)</f>
        <v>218</v>
      </c>
      <c r="H78" s="10" t="s">
        <v>21</v>
      </c>
    </row>
    <row r="79" customFormat="false" ht="15" hidden="false" customHeight="false" outlineLevel="0" collapsed="false">
      <c r="A79" s="10" t="n">
        <v>75</v>
      </c>
      <c r="B79" s="10" t="s">
        <v>139</v>
      </c>
      <c r="C79" s="10" t="s">
        <v>14</v>
      </c>
      <c r="D79" s="11" t="n">
        <v>260</v>
      </c>
      <c r="E79" s="10" t="n">
        <v>17</v>
      </c>
      <c r="F79" s="12" t="n">
        <v>0</v>
      </c>
      <c r="G79" s="11" t="n">
        <f aca="false">ROUND(D79*(100-E79)/100,0)</f>
        <v>216</v>
      </c>
      <c r="H79" s="10" t="s">
        <v>25</v>
      </c>
    </row>
    <row r="80" customFormat="false" ht="15" hidden="false" customHeight="false" outlineLevel="0" collapsed="false">
      <c r="A80" s="2" t="n">
        <v>76</v>
      </c>
      <c r="B80" s="2" t="s">
        <v>145</v>
      </c>
      <c r="C80" s="2" t="s">
        <v>14</v>
      </c>
      <c r="D80" s="3" t="n">
        <v>260</v>
      </c>
      <c r="E80" s="2" t="n">
        <v>21</v>
      </c>
      <c r="F80" s="4" t="n">
        <v>0.37</v>
      </c>
      <c r="G80" s="3" t="n">
        <f aca="false">ROUND(D80*(100-E80)/100,0)</f>
        <v>205</v>
      </c>
      <c r="H80" s="2" t="s">
        <v>41</v>
      </c>
    </row>
    <row r="81" customFormat="false" ht="15" hidden="false" customHeight="false" outlineLevel="0" collapsed="false">
      <c r="A81" s="2" t="n">
        <v>77</v>
      </c>
      <c r="B81" s="2" t="s">
        <v>146</v>
      </c>
      <c r="C81" s="2" t="s">
        <v>14</v>
      </c>
      <c r="D81" s="3" t="n">
        <v>260</v>
      </c>
      <c r="E81" s="2" t="n">
        <v>22</v>
      </c>
      <c r="F81" s="4" t="n">
        <v>0.9</v>
      </c>
      <c r="G81" s="3" t="n">
        <f aca="false">ROUND(D81*(100-E81)/100,0)</f>
        <v>203</v>
      </c>
      <c r="H81" s="2" t="s">
        <v>41</v>
      </c>
    </row>
    <row r="82" customFormat="false" ht="15" hidden="false" customHeight="false" outlineLevel="0" collapsed="false">
      <c r="A82" s="10" t="n">
        <v>78</v>
      </c>
      <c r="B82" s="10" t="s">
        <v>329</v>
      </c>
      <c r="C82" s="10" t="s">
        <v>274</v>
      </c>
      <c r="D82" s="11" t="n">
        <v>210</v>
      </c>
      <c r="E82" s="10" t="n">
        <v>9</v>
      </c>
      <c r="F82" s="12" t="n">
        <v>0.87</v>
      </c>
      <c r="G82" s="11" t="n">
        <f aca="false">ROUND(D82*(100-E82)/100,0)</f>
        <v>191</v>
      </c>
      <c r="H82" s="10" t="s">
        <v>281</v>
      </c>
    </row>
    <row r="83" customFormat="false" ht="15" hidden="false" customHeight="false" outlineLevel="0" collapsed="false">
      <c r="A83" s="2" t="n">
        <v>79</v>
      </c>
      <c r="B83" s="2" t="s">
        <v>144</v>
      </c>
      <c r="C83" s="2" t="s">
        <v>14</v>
      </c>
      <c r="D83" s="3" t="n">
        <v>260</v>
      </c>
      <c r="E83" s="2" t="n">
        <v>28</v>
      </c>
      <c r="F83" s="4" t="n">
        <v>0.41</v>
      </c>
      <c r="G83" s="3" t="n">
        <f aca="false">ROUND(D83*(100-E83)/100,0)</f>
        <v>187</v>
      </c>
      <c r="H83" s="2" t="s">
        <v>41</v>
      </c>
    </row>
    <row r="84" customFormat="false" ht="15" hidden="false" customHeight="false" outlineLevel="0" collapsed="false">
      <c r="A84" s="10" t="n">
        <v>80</v>
      </c>
      <c r="B84" s="10" t="s">
        <v>328</v>
      </c>
      <c r="C84" s="10" t="s">
        <v>274</v>
      </c>
      <c r="D84" s="11" t="n">
        <v>210</v>
      </c>
      <c r="E84" s="10" t="n">
        <v>11</v>
      </c>
      <c r="F84" s="12" t="n">
        <v>0.93</v>
      </c>
      <c r="G84" s="11" t="n">
        <f aca="false">ROUND(D84*(100-E84)/100,0)</f>
        <v>187</v>
      </c>
      <c r="H84" s="10" t="s">
        <v>281</v>
      </c>
    </row>
    <row r="85" customFormat="false" ht="15" hidden="false" customHeight="false" outlineLevel="0" collapsed="false">
      <c r="A85" s="10" t="n">
        <v>81</v>
      </c>
      <c r="B85" s="10" t="s">
        <v>325</v>
      </c>
      <c r="C85" s="10" t="s">
        <v>274</v>
      </c>
      <c r="D85" s="11" t="n">
        <v>210</v>
      </c>
      <c r="E85" s="10" t="n">
        <v>12</v>
      </c>
      <c r="F85" s="12" t="n">
        <v>0.75</v>
      </c>
      <c r="G85" s="11" t="n">
        <f aca="false">ROUND(D85*(100-E85)/100,0)</f>
        <v>185</v>
      </c>
      <c r="H85" s="10" t="s">
        <v>281</v>
      </c>
    </row>
    <row r="86" customFormat="false" ht="15" hidden="false" customHeight="false" outlineLevel="0" collapsed="false">
      <c r="A86" s="10" t="n">
        <v>82</v>
      </c>
      <c r="B86" s="10" t="s">
        <v>326</v>
      </c>
      <c r="C86" s="10" t="s">
        <v>274</v>
      </c>
      <c r="D86" s="11" t="n">
        <v>210</v>
      </c>
      <c r="E86" s="10" t="n">
        <v>12</v>
      </c>
      <c r="F86" s="12" t="n">
        <v>1.1</v>
      </c>
      <c r="G86" s="11" t="n">
        <f aca="false">ROUND(D86*(100-E86)/100,0)</f>
        <v>185</v>
      </c>
      <c r="H86" s="10" t="s">
        <v>281</v>
      </c>
    </row>
    <row r="87" customFormat="false" ht="15" hidden="false" customHeight="false" outlineLevel="0" collapsed="false">
      <c r="A87" s="10" t="n">
        <v>83</v>
      </c>
      <c r="B87" s="10" t="s">
        <v>327</v>
      </c>
      <c r="C87" s="10" t="s">
        <v>274</v>
      </c>
      <c r="D87" s="11" t="n">
        <v>210</v>
      </c>
      <c r="E87" s="10" t="n">
        <v>12</v>
      </c>
      <c r="F87" s="12" t="n">
        <v>1</v>
      </c>
      <c r="G87" s="11" t="n">
        <f aca="false">ROUND(D87*(100-E87)/100,0)</f>
        <v>185</v>
      </c>
      <c r="H87" s="10" t="s">
        <v>281</v>
      </c>
    </row>
    <row r="88" customFormat="false" ht="15" hidden="false" customHeight="false" outlineLevel="0" collapsed="false">
      <c r="A88" s="10" t="n">
        <v>84</v>
      </c>
      <c r="B88" s="10" t="s">
        <v>332</v>
      </c>
      <c r="C88" s="10" t="s">
        <v>274</v>
      </c>
      <c r="D88" s="11" t="n">
        <v>210</v>
      </c>
      <c r="E88" s="10" t="n">
        <v>14</v>
      </c>
      <c r="F88" s="12" t="n">
        <v>1.14</v>
      </c>
      <c r="G88" s="11" t="n">
        <f aca="false">ROUND(D88*(100-E88)/100,0)</f>
        <v>181</v>
      </c>
      <c r="H88" s="10" t="s">
        <v>281</v>
      </c>
    </row>
    <row r="89" customFormat="false" ht="15" hidden="false" customHeight="false" outlineLevel="0" collapsed="false">
      <c r="A89" s="10" t="n">
        <v>85</v>
      </c>
      <c r="B89" s="10" t="s">
        <v>330</v>
      </c>
      <c r="C89" s="10" t="s">
        <v>274</v>
      </c>
      <c r="D89" s="11" t="n">
        <v>210</v>
      </c>
      <c r="E89" s="10" t="n">
        <v>15</v>
      </c>
      <c r="F89" s="12" t="n">
        <v>3.46</v>
      </c>
      <c r="G89" s="11" t="n">
        <f aca="false">ROUND(D89*(100-E89)/100,0)</f>
        <v>179</v>
      </c>
      <c r="H89" s="10" t="s">
        <v>281</v>
      </c>
    </row>
    <row r="90" customFormat="false" ht="15" hidden="false" customHeight="false" outlineLevel="0" collapsed="false">
      <c r="A90" s="10" t="n">
        <v>86</v>
      </c>
      <c r="B90" s="10" t="s">
        <v>331</v>
      </c>
      <c r="C90" s="10" t="s">
        <v>274</v>
      </c>
      <c r="D90" s="11" t="n">
        <v>210</v>
      </c>
      <c r="E90" s="10" t="n">
        <v>15</v>
      </c>
      <c r="F90" s="12" t="n">
        <v>2.58</v>
      </c>
      <c r="G90" s="11" t="n">
        <f aca="false">ROUND(D90*(100-E90)/100,0)</f>
        <v>179</v>
      </c>
      <c r="H90" s="10" t="s">
        <v>281</v>
      </c>
    </row>
    <row r="91" customFormat="false" ht="15" hidden="false" customHeight="false" outlineLevel="0" collapsed="false">
      <c r="A91" s="10" t="n">
        <v>87</v>
      </c>
      <c r="B91" s="10" t="s">
        <v>165</v>
      </c>
      <c r="C91" s="10" t="s">
        <v>14</v>
      </c>
      <c r="D91" s="11" t="n">
        <v>210</v>
      </c>
      <c r="E91" s="10" t="n">
        <v>17</v>
      </c>
      <c r="F91" s="12" t="n">
        <v>0</v>
      </c>
      <c r="G91" s="11" t="n">
        <f aca="false">ROUND(D91*(100-E91)/100,0)</f>
        <v>174</v>
      </c>
      <c r="H91" s="10" t="s">
        <v>41</v>
      </c>
    </row>
    <row r="92" customFormat="false" ht="15" hidden="false" customHeight="false" outlineLevel="0" collapsed="false">
      <c r="A92" s="10" t="n">
        <v>88</v>
      </c>
      <c r="B92" s="10" t="s">
        <v>166</v>
      </c>
      <c r="C92" s="10" t="s">
        <v>14</v>
      </c>
      <c r="D92" s="11" t="n">
        <v>210</v>
      </c>
      <c r="E92" s="10" t="n">
        <v>17</v>
      </c>
      <c r="F92" s="12" t="n">
        <v>0</v>
      </c>
      <c r="G92" s="11" t="n">
        <f aca="false">ROUND(D92*(100-E92)/100,0)</f>
        <v>174</v>
      </c>
      <c r="H92" s="10" t="s">
        <v>41</v>
      </c>
    </row>
    <row r="93" customFormat="false" ht="15" hidden="false" customHeight="false" outlineLevel="0" collapsed="false">
      <c r="A93" s="10" t="n">
        <v>89</v>
      </c>
      <c r="B93" s="10" t="s">
        <v>158</v>
      </c>
      <c r="C93" s="10" t="s">
        <v>14</v>
      </c>
      <c r="D93" s="11" t="n">
        <v>210</v>
      </c>
      <c r="E93" s="10" t="n">
        <v>20</v>
      </c>
      <c r="F93" s="12" t="n">
        <v>0</v>
      </c>
      <c r="G93" s="11" t="n">
        <f aca="false">ROUND(D93*(100-E93)/100,0)</f>
        <v>168</v>
      </c>
      <c r="H93" s="10" t="s">
        <v>23</v>
      </c>
    </row>
    <row r="94" customFormat="false" ht="15" hidden="false" customHeight="false" outlineLevel="0" collapsed="false">
      <c r="A94" s="10" t="n">
        <v>90</v>
      </c>
      <c r="B94" s="10" t="s">
        <v>164</v>
      </c>
      <c r="C94" s="10" t="s">
        <v>14</v>
      </c>
      <c r="D94" s="11" t="n">
        <v>210</v>
      </c>
      <c r="E94" s="10" t="n">
        <v>20</v>
      </c>
      <c r="F94" s="12" t="n">
        <v>0.33</v>
      </c>
      <c r="G94" s="11" t="n">
        <f aca="false">ROUND(D94*(100-E94)/100,0)</f>
        <v>168</v>
      </c>
      <c r="H94" s="10" t="s">
        <v>41</v>
      </c>
    </row>
    <row r="95" customFormat="false" ht="15" hidden="false" customHeight="false" outlineLevel="0" collapsed="false">
      <c r="A95" s="2" t="n">
        <v>91</v>
      </c>
      <c r="B95" s="2" t="s">
        <v>152</v>
      </c>
      <c r="C95" s="2" t="s">
        <v>14</v>
      </c>
      <c r="D95" s="3" t="n">
        <v>210</v>
      </c>
      <c r="E95" s="2" t="n">
        <v>21</v>
      </c>
      <c r="F95" s="4" t="n">
        <v>0</v>
      </c>
      <c r="G95" s="3" t="n">
        <f aca="false">ROUND(D95*(100-E95)/100,0)</f>
        <v>166</v>
      </c>
      <c r="H95" s="2" t="s">
        <v>25</v>
      </c>
    </row>
    <row r="96" customFormat="false" ht="15" hidden="false" customHeight="false" outlineLevel="0" collapsed="false">
      <c r="A96" s="2" t="n">
        <v>92</v>
      </c>
      <c r="B96" s="2" t="s">
        <v>154</v>
      </c>
      <c r="C96" s="2" t="s">
        <v>14</v>
      </c>
      <c r="D96" s="3" t="n">
        <v>210</v>
      </c>
      <c r="E96" s="2" t="n">
        <v>21</v>
      </c>
      <c r="F96" s="4" t="n">
        <v>0</v>
      </c>
      <c r="G96" s="3" t="n">
        <f aca="false">ROUND(D96*(100-E96)/100,0)</f>
        <v>166</v>
      </c>
      <c r="H96" s="2" t="s">
        <v>25</v>
      </c>
    </row>
    <row r="97" customFormat="false" ht="15" hidden="false" customHeight="false" outlineLevel="0" collapsed="false">
      <c r="A97" s="2" t="n">
        <v>93</v>
      </c>
      <c r="B97" s="2" t="s">
        <v>167</v>
      </c>
      <c r="C97" s="2" t="s">
        <v>14</v>
      </c>
      <c r="D97" s="3" t="n">
        <v>210</v>
      </c>
      <c r="E97" s="2" t="n">
        <v>21</v>
      </c>
      <c r="F97" s="4" t="n">
        <v>0</v>
      </c>
      <c r="G97" s="3" t="n">
        <f aca="false">ROUND(D97*(100-E97)/100,0)</f>
        <v>166</v>
      </c>
      <c r="H97" s="2" t="s">
        <v>41</v>
      </c>
    </row>
    <row r="98" customFormat="false" ht="15" hidden="false" customHeight="false" outlineLevel="0" collapsed="false">
      <c r="A98" s="2" t="n">
        <v>94</v>
      </c>
      <c r="B98" s="2" t="s">
        <v>172</v>
      </c>
      <c r="C98" s="2" t="s">
        <v>14</v>
      </c>
      <c r="D98" s="3" t="n">
        <v>210</v>
      </c>
      <c r="E98" s="2" t="n">
        <v>21</v>
      </c>
      <c r="F98" s="4" t="n">
        <v>0.28</v>
      </c>
      <c r="G98" s="3" t="n">
        <f aca="false">ROUND(D98*(100-E98)/100,0)</f>
        <v>166</v>
      </c>
      <c r="H98" s="2" t="s">
        <v>173</v>
      </c>
    </row>
    <row r="99" customFormat="false" ht="15" hidden="false" customHeight="false" outlineLevel="0" collapsed="false">
      <c r="A99" s="2" t="n">
        <v>95</v>
      </c>
      <c r="B99" s="2" t="s">
        <v>157</v>
      </c>
      <c r="C99" s="2" t="s">
        <v>14</v>
      </c>
      <c r="D99" s="3" t="n">
        <v>210</v>
      </c>
      <c r="E99" s="2" t="n">
        <v>22</v>
      </c>
      <c r="F99" s="4" t="n">
        <v>0</v>
      </c>
      <c r="G99" s="3" t="n">
        <f aca="false">ROUND(D99*(100-E99)/100,0)</f>
        <v>164</v>
      </c>
      <c r="H99" s="2" t="s">
        <v>23</v>
      </c>
    </row>
    <row r="100" customFormat="false" ht="15" hidden="false" customHeight="false" outlineLevel="0" collapsed="false">
      <c r="A100" s="2" t="n">
        <v>96</v>
      </c>
      <c r="B100" s="2" t="s">
        <v>153</v>
      </c>
      <c r="C100" s="2" t="s">
        <v>14</v>
      </c>
      <c r="D100" s="3" t="n">
        <v>210</v>
      </c>
      <c r="E100" s="2" t="n">
        <v>23</v>
      </c>
      <c r="F100" s="4" t="n">
        <v>0</v>
      </c>
      <c r="G100" s="3" t="n">
        <f aca="false">ROUND(D100*(100-E100)/100,0)</f>
        <v>162</v>
      </c>
      <c r="H100" s="2" t="s">
        <v>25</v>
      </c>
    </row>
    <row r="101" customFormat="false" ht="15" hidden="false" customHeight="false" outlineLevel="0" collapsed="false">
      <c r="A101" s="2" t="n">
        <v>97</v>
      </c>
      <c r="B101" s="2" t="s">
        <v>163</v>
      </c>
      <c r="C101" s="2" t="s">
        <v>14</v>
      </c>
      <c r="D101" s="3" t="n">
        <v>210</v>
      </c>
      <c r="E101" s="2" t="n">
        <v>23</v>
      </c>
      <c r="F101" s="4" t="n">
        <v>0.72</v>
      </c>
      <c r="G101" s="3" t="n">
        <f aca="false">ROUND(D101*(100-E101)/100,0)</f>
        <v>162</v>
      </c>
      <c r="H101" s="2" t="s">
        <v>41</v>
      </c>
    </row>
    <row r="102" customFormat="false" ht="15" hidden="false" customHeight="false" outlineLevel="0" collapsed="false">
      <c r="A102" s="2" t="n">
        <v>98</v>
      </c>
      <c r="B102" s="2" t="s">
        <v>171</v>
      </c>
      <c r="C102" s="2" t="s">
        <v>14</v>
      </c>
      <c r="D102" s="3" t="n">
        <v>210</v>
      </c>
      <c r="E102" s="2" t="n">
        <v>28</v>
      </c>
      <c r="F102" s="4" t="n">
        <v>0</v>
      </c>
      <c r="G102" s="3" t="n">
        <f aca="false">ROUND(D102*(100-E102)/100,0)</f>
        <v>151</v>
      </c>
      <c r="H10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9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8" t="s">
        <v>480</v>
      </c>
    </row>
    <row r="2" customFormat="false" ht="15" hidden="false" customHeight="false" outlineLevel="0" collapsed="false">
      <c r="A2" s="9" t="s">
        <v>481</v>
      </c>
    </row>
    <row r="4" customFormat="false" ht="26.85" hidden="false" customHeight="false" outlineLevel="0" collapsed="false">
      <c r="A4" s="1" t="s">
        <v>3</v>
      </c>
      <c r="B4" s="1" t="s">
        <v>482</v>
      </c>
      <c r="C4" s="1" t="s">
        <v>483</v>
      </c>
      <c r="D4" s="1" t="s">
        <v>484</v>
      </c>
      <c r="E4" s="1" t="s">
        <v>485</v>
      </c>
      <c r="F4" s="1" t="s">
        <v>486</v>
      </c>
    </row>
    <row r="5" customFormat="false" ht="15" hidden="false" customHeight="false" outlineLevel="0" collapsed="false">
      <c r="A5" s="2" t="s">
        <v>15</v>
      </c>
      <c r="B5" s="2" t="n">
        <f aca="false">COUNTIF('Keyword Database'!D:D,A5)</f>
        <v>307</v>
      </c>
      <c r="C5" s="3" t="n">
        <f aca="false">SUMIF('Keyword Database'!D:D,A5,'Keyword Database'!F:F)</f>
        <v>320110</v>
      </c>
      <c r="D5" s="2" t="n">
        <f aca="false">IFERROR(ROUND(SUMIF('Keyword Database'!D:D,A5,'Keyword Database'!G:G)/COUNTIF('Keyword Database'!D:D,A5),0),"")</f>
        <v>26</v>
      </c>
      <c r="E5" s="4" t="n">
        <f aca="false">IFERROR(ROUND(SUMIF('Keyword Database'!D:D,A5,'Keyword Database'!H:H)/COUNTIF('Keyword Database'!D:D,A5),2),"")</f>
        <v>0.65</v>
      </c>
      <c r="F5" s="2" t="s">
        <v>487</v>
      </c>
    </row>
    <row r="6" customFormat="false" ht="15" hidden="false" customHeight="false" outlineLevel="0" collapsed="false">
      <c r="A6" s="2" t="s">
        <v>275</v>
      </c>
      <c r="B6" s="2" t="n">
        <f aca="false">COUNTIF('Keyword Database'!D:D,A6)</f>
        <v>44</v>
      </c>
      <c r="C6" s="3" t="n">
        <f aca="false">SUMIF('Keyword Database'!D:D,A6,'Keyword Database'!F:F)</f>
        <v>14550</v>
      </c>
      <c r="D6" s="2" t="n">
        <f aca="false">IFERROR(ROUND(SUMIF('Keyword Database'!D:D,A6,'Keyword Database'!G:G)/COUNTIF('Keyword Database'!D:D,A6),0),"")</f>
        <v>13</v>
      </c>
      <c r="E6" s="4" t="n">
        <f aca="false">IFERROR(ROUND(SUMIF('Keyword Database'!D:D,A6,'Keyword Database'!H:H)/COUNTIF('Keyword Database'!D:D,A6),2),"")</f>
        <v>1.14</v>
      </c>
      <c r="F6" s="2" t="s">
        <v>488</v>
      </c>
    </row>
    <row r="7" customFormat="false" ht="15" hidden="false" customHeight="false" outlineLevel="0" collapsed="false">
      <c r="A7" s="2" t="s">
        <v>297</v>
      </c>
      <c r="B7" s="2" t="n">
        <f aca="false">COUNTIF('Keyword Database'!D:D,A7)</f>
        <v>42</v>
      </c>
      <c r="C7" s="3" t="n">
        <f aca="false">SUMIF('Keyword Database'!D:D,A7,'Keyword Database'!F:F)</f>
        <v>6580</v>
      </c>
      <c r="D7" s="2" t="n">
        <f aca="false">IFERROR(ROUND(SUMIF('Keyword Database'!D:D,A7,'Keyword Database'!G:G)/COUNTIF('Keyword Database'!D:D,A7),0),"")</f>
        <v>12</v>
      </c>
      <c r="E7" s="4" t="n">
        <f aca="false">IFERROR(ROUND(SUMIF('Keyword Database'!D:D,A7,'Keyword Database'!H:H)/COUNTIF('Keyword Database'!D:D,A7),2),"")</f>
        <v>5.59</v>
      </c>
      <c r="F7" s="2" t="s">
        <v>489</v>
      </c>
    </row>
    <row r="8" customFormat="false" ht="15" hidden="false" customHeight="false" outlineLevel="0" collapsed="false">
      <c r="A8" s="2" t="s">
        <v>62</v>
      </c>
      <c r="B8" s="2" t="n">
        <f aca="false">COUNTIF('Keyword Database'!D:D,A8)</f>
        <v>26</v>
      </c>
      <c r="C8" s="3" t="n">
        <f aca="false">SUMIF('Keyword Database'!D:D,A8,'Keyword Database'!F:F)</f>
        <v>9160</v>
      </c>
      <c r="D8" s="2" t="n">
        <f aca="false">IFERROR(ROUND(SUMIF('Keyword Database'!D:D,A8,'Keyword Database'!G:G)/COUNTIF('Keyword Database'!D:D,A8),0),"")</f>
        <v>18</v>
      </c>
      <c r="E8" s="4" t="n">
        <f aca="false">IFERROR(ROUND(SUMIF('Keyword Database'!D:D,A8,'Keyword Database'!H:H)/COUNTIF('Keyword Database'!D:D,A8),2),"")</f>
        <v>0.8</v>
      </c>
      <c r="F8" s="2" t="s">
        <v>490</v>
      </c>
    </row>
    <row r="9" customFormat="false" ht="15" hidden="false" customHeight="false" outlineLevel="0" collapsed="false">
      <c r="A9" s="2" t="s">
        <v>219</v>
      </c>
      <c r="B9" s="2" t="n">
        <f aca="false">COUNTIF('Keyword Database'!D:D,A9)</f>
        <v>2</v>
      </c>
      <c r="C9" s="3" t="n">
        <f aca="false">SUMIF('Keyword Database'!D:D,A9,'Keyword Database'!F:F)</f>
        <v>250</v>
      </c>
      <c r="D9" s="2" t="n">
        <f aca="false">IFERROR(ROUND(SUMIF('Keyword Database'!D:D,A9,'Keyword Database'!G:G)/COUNTIF('Keyword Database'!D:D,A9),0),"")</f>
        <v>22</v>
      </c>
      <c r="E9" s="4" t="n">
        <f aca="false">IFERROR(ROUND(SUMIF('Keyword Database'!D:D,A9,'Keyword Database'!H:H)/COUNTIF('Keyword Database'!D:D,A9),2),"")</f>
        <v>0</v>
      </c>
      <c r="F9" s="2" t="s">
        <v>491</v>
      </c>
    </row>
    <row r="10" customFormat="false" ht="15" hidden="false" customHeight="false" outlineLevel="0" collapsed="false">
      <c r="A10" s="2" t="s">
        <v>73</v>
      </c>
      <c r="B10" s="2" t="n">
        <f aca="false">COUNTIF('Keyword Database'!D:D,A10)</f>
        <v>4</v>
      </c>
      <c r="C10" s="3" t="n">
        <f aca="false">SUMIF('Keyword Database'!D:D,A10,'Keyword Database'!F:F)</f>
        <v>1640</v>
      </c>
      <c r="D10" s="2" t="n">
        <f aca="false">IFERROR(ROUND(SUMIF('Keyword Database'!D:D,A10,'Keyword Database'!G:G)/COUNTIF('Keyword Database'!D:D,A10),0),"")</f>
        <v>14</v>
      </c>
      <c r="E10" s="4" t="n">
        <f aca="false">IFERROR(ROUND(SUMIF('Keyword Database'!D:D,A10,'Keyword Database'!H:H)/COUNTIF('Keyword Database'!D:D,A10),2),"")</f>
        <v>0</v>
      </c>
      <c r="F10" s="2" t="s">
        <v>492</v>
      </c>
    </row>
    <row r="13" customFormat="false" ht="15" hidden="false" customHeight="false" outlineLevel="0" collapsed="false">
      <c r="A13" s="13" t="s">
        <v>493</v>
      </c>
    </row>
    <row r="15" customFormat="false" ht="15" hidden="false" customHeight="false" outlineLevel="0" collapsed="false">
      <c r="A15" s="1" t="s">
        <v>10</v>
      </c>
      <c r="B15" s="1" t="s">
        <v>2</v>
      </c>
      <c r="C15" s="1" t="s">
        <v>482</v>
      </c>
      <c r="D15" s="1" t="s">
        <v>483</v>
      </c>
      <c r="E15" s="1" t="s">
        <v>484</v>
      </c>
      <c r="F15" s="1" t="s">
        <v>494</v>
      </c>
    </row>
    <row r="16" customFormat="false" ht="15" hidden="false" customHeight="false" outlineLevel="0" collapsed="false">
      <c r="A16" s="2" t="s">
        <v>173</v>
      </c>
      <c r="B16" s="2" t="s">
        <v>14</v>
      </c>
      <c r="C16" s="2" t="n">
        <f aca="false">COUNTIF('Keyword Database'!K:K,A16)</f>
        <v>8</v>
      </c>
      <c r="D16" s="3" t="n">
        <f aca="false">SUMIF('Keyword Database'!K:K,A16,'Keyword Database'!F:F)</f>
        <v>980</v>
      </c>
      <c r="E16" s="2" t="n">
        <f aca="false">IFERROR(ROUND(SUMIF('Keyword Database'!K:K,A16,'Keyword Database'!G:G)/COUNTIF('Keyword Database'!K:K,A16),0),"")</f>
        <v>28</v>
      </c>
      <c r="F16" s="3" t="n">
        <f aca="false">SUMIF('Keyword Database'!K:K,A16,'Keyword Database'!I:I)</f>
        <v>716</v>
      </c>
    </row>
    <row r="17" customFormat="false" ht="15" hidden="false" customHeight="false" outlineLevel="0" collapsed="false">
      <c r="A17" s="2" t="s">
        <v>74</v>
      </c>
      <c r="B17" s="2" t="s">
        <v>14</v>
      </c>
      <c r="C17" s="2" t="n">
        <f aca="false">COUNTIF('Keyword Database'!K:K,A17)</f>
        <v>1</v>
      </c>
      <c r="D17" s="3" t="n">
        <f aca="false">SUMIF('Keyword Database'!K:K,A17,'Keyword Database'!F:F)</f>
        <v>880</v>
      </c>
      <c r="E17" s="2" t="n">
        <f aca="false">IFERROR(ROUND(SUMIF('Keyword Database'!K:K,A17,'Keyword Database'!G:G)/COUNTIF('Keyword Database'!K:K,A17),0),"")</f>
        <v>22</v>
      </c>
      <c r="F17" s="3" t="n">
        <f aca="false">SUMIF('Keyword Database'!K:K,A17,'Keyword Database'!I:I)</f>
        <v>686</v>
      </c>
    </row>
    <row r="18" customFormat="false" ht="15" hidden="false" customHeight="false" outlineLevel="0" collapsed="false">
      <c r="A18" s="2" t="s">
        <v>284</v>
      </c>
      <c r="B18" s="2" t="s">
        <v>274</v>
      </c>
      <c r="C18" s="2" t="n">
        <f aca="false">COUNTIF('Keyword Database'!K:K,A18)</f>
        <v>16</v>
      </c>
      <c r="D18" s="3" t="n">
        <f aca="false">SUMIF('Keyword Database'!K:K,A18,'Keyword Database'!F:F)</f>
        <v>4290</v>
      </c>
      <c r="E18" s="2" t="n">
        <f aca="false">IFERROR(ROUND(SUMIF('Keyword Database'!K:K,A18,'Keyword Database'!G:G)/COUNTIF('Keyword Database'!K:K,A18),0),"")</f>
        <v>13</v>
      </c>
      <c r="F18" s="3" t="n">
        <f aca="false">SUMIF('Keyword Database'!K:K,A18,'Keyword Database'!I:I)</f>
        <v>3750</v>
      </c>
    </row>
    <row r="19" customFormat="false" ht="15" hidden="false" customHeight="false" outlineLevel="0" collapsed="false">
      <c r="A19" s="2" t="s">
        <v>63</v>
      </c>
      <c r="B19" s="2" t="s">
        <v>14</v>
      </c>
      <c r="C19" s="2" t="n">
        <f aca="false">COUNTIF('Keyword Database'!K:K,A19)</f>
        <v>13</v>
      </c>
      <c r="D19" s="3" t="n">
        <f aca="false">SUMIF('Keyword Database'!K:K,A19,'Keyword Database'!F:F)</f>
        <v>5580</v>
      </c>
      <c r="E19" s="2" t="n">
        <f aca="false">IFERROR(ROUND(SUMIF('Keyword Database'!K:K,A19,'Keyword Database'!G:G)/COUNTIF('Keyword Database'!K:K,A19),0),"")</f>
        <v>22</v>
      </c>
      <c r="F19" s="3" t="n">
        <f aca="false">SUMIF('Keyword Database'!K:K,A19,'Keyword Database'!I:I)</f>
        <v>4285</v>
      </c>
    </row>
    <row r="20" customFormat="false" ht="15" hidden="false" customHeight="false" outlineLevel="0" collapsed="false">
      <c r="A20" s="2" t="s">
        <v>103</v>
      </c>
      <c r="B20" s="2" t="s">
        <v>14</v>
      </c>
      <c r="C20" s="2" t="n">
        <f aca="false">COUNTIF('Keyword Database'!K:K,A20)</f>
        <v>4</v>
      </c>
      <c r="D20" s="3" t="n">
        <f aca="false">SUMIF('Keyword Database'!K:K,A20,'Keyword Database'!F:F)</f>
        <v>930</v>
      </c>
      <c r="E20" s="2" t="n">
        <f aca="false">IFERROR(ROUND(SUMIF('Keyword Database'!K:K,A20,'Keyword Database'!G:G)/COUNTIF('Keyword Database'!K:K,A20),0),"")</f>
        <v>16</v>
      </c>
      <c r="F20" s="3" t="n">
        <f aca="false">SUMIF('Keyword Database'!K:K,A20,'Keyword Database'!I:I)</f>
        <v>784</v>
      </c>
    </row>
    <row r="21" customFormat="false" ht="15" hidden="false" customHeight="false" outlineLevel="0" collapsed="false">
      <c r="A21" s="2" t="s">
        <v>17</v>
      </c>
      <c r="B21" s="2" t="s">
        <v>14</v>
      </c>
      <c r="C21" s="2" t="n">
        <f aca="false">COUNTIF('Keyword Database'!K:K,A21)</f>
        <v>19</v>
      </c>
      <c r="D21" s="3" t="n">
        <f aca="false">SUMIF('Keyword Database'!K:K,A21,'Keyword Database'!F:F)</f>
        <v>125390</v>
      </c>
      <c r="E21" s="2" t="n">
        <f aca="false">IFERROR(ROUND(SUMIF('Keyword Database'!K:K,A21,'Keyword Database'!G:G)/COUNTIF('Keyword Database'!K:K,A21),0),"")</f>
        <v>46</v>
      </c>
      <c r="F21" s="3" t="n">
        <f aca="false">SUMIF('Keyword Database'!K:K,A21,'Keyword Database'!I:I)</f>
        <v>47852</v>
      </c>
    </row>
    <row r="22" customFormat="false" ht="15" hidden="false" customHeight="false" outlineLevel="0" collapsed="false">
      <c r="A22" s="2" t="s">
        <v>45</v>
      </c>
      <c r="B22" s="2" t="s">
        <v>14</v>
      </c>
      <c r="C22" s="2" t="n">
        <f aca="false">COUNTIF('Keyword Database'!K:K,A22)</f>
        <v>12</v>
      </c>
      <c r="D22" s="3" t="n">
        <f aca="false">SUMIF('Keyword Database'!K:K,A22,'Keyword Database'!F:F)</f>
        <v>8530</v>
      </c>
      <c r="E22" s="2" t="n">
        <f aca="false">IFERROR(ROUND(SUMIF('Keyword Database'!K:K,A22,'Keyword Database'!G:G)/COUNTIF('Keyword Database'!K:K,A22),0),"")</f>
        <v>22</v>
      </c>
      <c r="F22" s="3" t="n">
        <f aca="false">SUMIF('Keyword Database'!K:K,A22,'Keyword Database'!I:I)</f>
        <v>6683</v>
      </c>
    </row>
    <row r="23" customFormat="false" ht="15" hidden="false" customHeight="false" outlineLevel="0" collapsed="false">
      <c r="A23" s="2" t="s">
        <v>83</v>
      </c>
      <c r="B23" s="2" t="s">
        <v>14</v>
      </c>
      <c r="C23" s="2" t="n">
        <f aca="false">COUNTIF('Keyword Database'!K:K,A23)</f>
        <v>12</v>
      </c>
      <c r="D23" s="3" t="n">
        <f aca="false">SUMIF('Keyword Database'!K:K,A23,'Keyword Database'!F:F)</f>
        <v>3100</v>
      </c>
      <c r="E23" s="2" t="n">
        <f aca="false">IFERROR(ROUND(SUMIF('Keyword Database'!K:K,A23,'Keyword Database'!G:G)/COUNTIF('Keyword Database'!K:K,A23),0),"")</f>
        <v>58</v>
      </c>
      <c r="F23" s="3" t="n">
        <f aca="false">SUMIF('Keyword Database'!K:K,A23,'Keyword Database'!I:I)</f>
        <v>1285</v>
      </c>
    </row>
    <row r="24" customFormat="false" ht="15" hidden="false" customHeight="false" outlineLevel="0" collapsed="false">
      <c r="A24" s="2" t="s">
        <v>270</v>
      </c>
      <c r="B24" s="2" t="s">
        <v>14</v>
      </c>
      <c r="C24" s="2" t="n">
        <f aca="false">COUNTIF('Keyword Database'!K:K,A24)</f>
        <v>1</v>
      </c>
      <c r="D24" s="3" t="n">
        <f aca="false">SUMIF('Keyword Database'!K:K,A24,'Keyword Database'!F:F)</f>
        <v>90</v>
      </c>
      <c r="E24" s="2" t="n">
        <f aca="false">IFERROR(ROUND(SUMIF('Keyword Database'!K:K,A24,'Keyword Database'!G:G)/COUNTIF('Keyword Database'!K:K,A24),0),"")</f>
        <v>16</v>
      </c>
      <c r="F24" s="3" t="n">
        <f aca="false">SUMIF('Keyword Database'!K:K,A24,'Keyword Database'!I:I)</f>
        <v>76</v>
      </c>
    </row>
    <row r="25" customFormat="false" ht="15" hidden="false" customHeight="false" outlineLevel="0" collapsed="false">
      <c r="A25" s="2" t="s">
        <v>298</v>
      </c>
      <c r="B25" s="2" t="s">
        <v>274</v>
      </c>
      <c r="C25" s="2" t="n">
        <f aca="false">COUNTIF('Keyword Database'!K:K,A25)</f>
        <v>42</v>
      </c>
      <c r="D25" s="3" t="n">
        <f aca="false">SUMIF('Keyword Database'!K:K,A25,'Keyword Database'!F:F)</f>
        <v>6580</v>
      </c>
      <c r="E25" s="2" t="n">
        <f aca="false">IFERROR(ROUND(SUMIF('Keyword Database'!K:K,A25,'Keyword Database'!G:G)/COUNTIF('Keyword Database'!K:K,A25),0),"")</f>
        <v>12</v>
      </c>
      <c r="F25" s="3" t="n">
        <f aca="false">SUMIF('Keyword Database'!K:K,A25,'Keyword Database'!I:I)</f>
        <v>5815</v>
      </c>
    </row>
    <row r="26" customFormat="false" ht="15" hidden="false" customHeight="false" outlineLevel="0" collapsed="false">
      <c r="A26" s="2" t="s">
        <v>276</v>
      </c>
      <c r="B26" s="2" t="s">
        <v>274</v>
      </c>
      <c r="C26" s="2" t="n">
        <f aca="false">COUNTIF('Keyword Database'!K:K,A26)</f>
        <v>43</v>
      </c>
      <c r="D26" s="3" t="n">
        <f aca="false">SUMIF('Keyword Database'!K:K,A26,'Keyword Database'!F:F)</f>
        <v>14440</v>
      </c>
      <c r="E26" s="2" t="n">
        <f aca="false">IFERROR(ROUND(SUMIF('Keyword Database'!K:K,A26,'Keyword Database'!G:G)/COUNTIF('Keyword Database'!K:K,A26),0),"")</f>
        <v>13</v>
      </c>
      <c r="F26" s="3" t="n">
        <f aca="false">SUMIF('Keyword Database'!K:K,A26,'Keyword Database'!I:I)</f>
        <v>12464</v>
      </c>
    </row>
    <row r="27" customFormat="false" ht="15" hidden="false" customHeight="false" outlineLevel="0" collapsed="false">
      <c r="A27" s="2" t="s">
        <v>281</v>
      </c>
      <c r="B27" s="2" t="s">
        <v>274</v>
      </c>
      <c r="C27" s="2" t="n">
        <f aca="false">COUNTIF('Keyword Database'!K:K,A27)</f>
        <v>62</v>
      </c>
      <c r="D27" s="3" t="n">
        <f aca="false">SUMIF('Keyword Database'!K:K,A27,'Keyword Database'!F:F)</f>
        <v>11580</v>
      </c>
      <c r="E27" s="2" t="n">
        <f aca="false">IFERROR(ROUND(SUMIF('Keyword Database'!K:K,A27,'Keyword Database'!G:G)/COUNTIF('Keyword Database'!K:K,A27),0),"")</f>
        <v>12</v>
      </c>
      <c r="F27" s="3" t="n">
        <f aca="false">SUMIF('Keyword Database'!K:K,A27,'Keyword Database'!I:I)</f>
        <v>10162</v>
      </c>
    </row>
    <row r="28" customFormat="false" ht="15" hidden="false" customHeight="false" outlineLevel="0" collapsed="false">
      <c r="A28" s="2" t="s">
        <v>291</v>
      </c>
      <c r="B28" s="2" t="s">
        <v>274</v>
      </c>
      <c r="C28" s="2" t="n">
        <f aca="false">COUNTIF('Keyword Database'!K:K,A28)</f>
        <v>16</v>
      </c>
      <c r="D28" s="3" t="n">
        <f aca="false">SUMIF('Keyword Database'!K:K,A28,'Keyword Database'!F:F)</f>
        <v>2510</v>
      </c>
      <c r="E28" s="2" t="n">
        <f aca="false">IFERROR(ROUND(SUMIF('Keyword Database'!K:K,A28,'Keyword Database'!G:G)/COUNTIF('Keyword Database'!K:K,A28),0),"")</f>
        <v>12</v>
      </c>
      <c r="F28" s="3" t="n">
        <f aca="false">SUMIF('Keyword Database'!K:K,A28,'Keyword Database'!I:I)</f>
        <v>2195</v>
      </c>
    </row>
    <row r="29" customFormat="false" ht="15" hidden="false" customHeight="false" outlineLevel="0" collapsed="false">
      <c r="A29" s="2" t="s">
        <v>279</v>
      </c>
      <c r="B29" s="2" t="s">
        <v>274</v>
      </c>
      <c r="C29" s="2" t="n">
        <f aca="false">COUNTIF('Keyword Database'!K:K,A29)</f>
        <v>5</v>
      </c>
      <c r="D29" s="3" t="n">
        <f aca="false">SUMIF('Keyword Database'!K:K,A29,'Keyword Database'!F:F)</f>
        <v>3040</v>
      </c>
      <c r="E29" s="2" t="n">
        <f aca="false">IFERROR(ROUND(SUMIF('Keyword Database'!K:K,A29,'Keyword Database'!G:G)/COUNTIF('Keyword Database'!K:K,A29),0),"")</f>
        <v>13</v>
      </c>
      <c r="F29" s="3" t="n">
        <f aca="false">SUMIF('Keyword Database'!K:K,A29,'Keyword Database'!I:I)</f>
        <v>2639</v>
      </c>
    </row>
    <row r="30" customFormat="false" ht="15" hidden="false" customHeight="false" outlineLevel="0" collapsed="false">
      <c r="A30" s="2" t="s">
        <v>303</v>
      </c>
      <c r="B30" s="2" t="s">
        <v>274</v>
      </c>
      <c r="C30" s="2" t="n">
        <f aca="false">COUNTIF('Keyword Database'!K:K,A30)</f>
        <v>8</v>
      </c>
      <c r="D30" s="3" t="n">
        <f aca="false">SUMIF('Keyword Database'!K:K,A30,'Keyword Database'!F:F)</f>
        <v>1240</v>
      </c>
      <c r="E30" s="2" t="n">
        <f aca="false">IFERROR(ROUND(SUMIF('Keyword Database'!K:K,A30,'Keyword Database'!G:G)/COUNTIF('Keyword Database'!K:K,A30),0),"")</f>
        <v>12</v>
      </c>
      <c r="F30" s="3" t="n">
        <f aca="false">SUMIF('Keyword Database'!K:K,A30,'Keyword Database'!I:I)</f>
        <v>1100</v>
      </c>
    </row>
    <row r="31" customFormat="false" ht="15" hidden="false" customHeight="false" outlineLevel="0" collapsed="false">
      <c r="A31" s="2" t="s">
        <v>23</v>
      </c>
      <c r="B31" s="2" t="s">
        <v>14</v>
      </c>
      <c r="C31" s="2" t="n">
        <f aca="false">COUNTIF('Keyword Database'!K:K,A31)</f>
        <v>50</v>
      </c>
      <c r="D31" s="3" t="n">
        <f aca="false">SUMIF('Keyword Database'!K:K,A31,'Keyword Database'!F:F)</f>
        <v>81680</v>
      </c>
      <c r="E31" s="2" t="n">
        <f aca="false">IFERROR(ROUND(SUMIF('Keyword Database'!K:K,A31,'Keyword Database'!G:G)/COUNTIF('Keyword Database'!K:K,A31),0),"")</f>
        <v>28</v>
      </c>
      <c r="F31" s="3" t="n">
        <f aca="false">SUMIF('Keyword Database'!K:K,A31,'Keyword Database'!I:I)</f>
        <v>60488</v>
      </c>
    </row>
    <row r="32" customFormat="false" ht="15" hidden="false" customHeight="false" outlineLevel="0" collapsed="false">
      <c r="A32" s="2" t="s">
        <v>25</v>
      </c>
      <c r="B32" s="2" t="s">
        <v>14</v>
      </c>
      <c r="C32" s="2" t="n">
        <f aca="false">COUNTIF('Keyword Database'!K:K,A32)</f>
        <v>16</v>
      </c>
      <c r="D32" s="3" t="n">
        <f aca="false">SUMIF('Keyword Database'!K:K,A32,'Keyword Database'!F:F)</f>
        <v>19840</v>
      </c>
      <c r="E32" s="2" t="n">
        <f aca="false">IFERROR(ROUND(SUMIF('Keyword Database'!K:K,A32,'Keyword Database'!G:G)/COUNTIF('Keyword Database'!K:K,A32),0),"")</f>
        <v>18</v>
      </c>
      <c r="F32" s="3" t="n">
        <f aca="false">SUMIF('Keyword Database'!K:K,A32,'Keyword Database'!I:I)</f>
        <v>15438</v>
      </c>
    </row>
    <row r="33" customFormat="false" ht="15" hidden="false" customHeight="false" outlineLevel="0" collapsed="false">
      <c r="A33" s="2" t="s">
        <v>41</v>
      </c>
      <c r="B33" s="2" t="s">
        <v>14</v>
      </c>
      <c r="C33" s="2" t="n">
        <f aca="false">COUNTIF('Keyword Database'!K:K,A33)</f>
        <v>37</v>
      </c>
      <c r="D33" s="3" t="n">
        <f aca="false">SUMIF('Keyword Database'!K:K,A33,'Keyword Database'!F:F)</f>
        <v>16770</v>
      </c>
      <c r="E33" s="2" t="n">
        <f aca="false">IFERROR(ROUND(SUMIF('Keyword Database'!K:K,A33,'Keyword Database'!G:G)/COUNTIF('Keyword Database'!K:K,A33),0),"")</f>
        <v>25</v>
      </c>
      <c r="F33" s="3" t="n">
        <f aca="false">SUMIF('Keyword Database'!K:K,A33,'Keyword Database'!I:I)</f>
        <v>12550</v>
      </c>
    </row>
    <row r="34" customFormat="false" ht="15" hidden="false" customHeight="false" outlineLevel="0" collapsed="false">
      <c r="A34" s="2" t="s">
        <v>81</v>
      </c>
      <c r="B34" s="2" t="s">
        <v>14</v>
      </c>
      <c r="C34" s="2" t="n">
        <f aca="false">COUNTIF('Keyword Database'!K:K,A34)</f>
        <v>6</v>
      </c>
      <c r="D34" s="3" t="n">
        <f aca="false">SUMIF('Keyword Database'!K:K,A34,'Keyword Database'!F:F)</f>
        <v>1540</v>
      </c>
      <c r="E34" s="2" t="n">
        <f aca="false">IFERROR(ROUND(SUMIF('Keyword Database'!K:K,A34,'Keyword Database'!G:G)/COUNTIF('Keyword Database'!K:K,A34),0),"")</f>
        <v>32</v>
      </c>
      <c r="F34" s="3" t="n">
        <f aca="false">SUMIF('Keyword Database'!K:K,A34,'Keyword Database'!I:I)</f>
        <v>930</v>
      </c>
    </row>
    <row r="35" customFormat="false" ht="15" hidden="false" customHeight="false" outlineLevel="0" collapsed="false">
      <c r="A35" s="2" t="s">
        <v>37</v>
      </c>
      <c r="B35" s="2" t="s">
        <v>14</v>
      </c>
      <c r="C35" s="2" t="n">
        <f aca="false">COUNTIF('Keyword Database'!K:K,A35)</f>
        <v>25</v>
      </c>
      <c r="D35" s="3" t="n">
        <f aca="false">SUMIF('Keyword Database'!K:K,A35,'Keyword Database'!F:F)</f>
        <v>13710</v>
      </c>
      <c r="E35" s="2" t="n">
        <f aca="false">IFERROR(ROUND(SUMIF('Keyword Database'!K:K,A35,'Keyword Database'!G:G)/COUNTIF('Keyword Database'!K:K,A35),0),"")</f>
        <v>42</v>
      </c>
      <c r="F35" s="3" t="n">
        <f aca="false">SUMIF('Keyword Database'!K:K,A35,'Keyword Database'!I:I)</f>
        <v>7001</v>
      </c>
    </row>
    <row r="36" customFormat="false" ht="15" hidden="false" customHeight="false" outlineLevel="0" collapsed="false">
      <c r="A36" s="2" t="s">
        <v>21</v>
      </c>
      <c r="B36" s="2" t="s">
        <v>14</v>
      </c>
      <c r="C36" s="2" t="n">
        <f aca="false">COUNTIF('Keyword Database'!K:K,A36)</f>
        <v>29</v>
      </c>
      <c r="D36" s="3" t="n">
        <f aca="false">SUMIF('Keyword Database'!K:K,A36,'Keyword Database'!F:F)</f>
        <v>29590</v>
      </c>
      <c r="E36" s="2" t="n">
        <f aca="false">IFERROR(ROUND(SUMIF('Keyword Database'!K:K,A36,'Keyword Database'!G:G)/COUNTIF('Keyword Database'!K:K,A36),0),"")</f>
        <v>37</v>
      </c>
      <c r="F36" s="3" t="n">
        <f aca="false">SUMIF('Keyword Database'!K:K,A36,'Keyword Database'!I:I)</f>
        <v>16796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8" t="s">
        <v>495</v>
      </c>
    </row>
    <row r="2" customFormat="false" ht="15" hidden="false" customHeight="false" outlineLevel="0" collapsed="false">
      <c r="A2" s="9" t="s">
        <v>496</v>
      </c>
    </row>
    <row r="4" customFormat="false" ht="15" hidden="false" customHeight="false" outlineLevel="0" collapsed="false">
      <c r="A4" s="1" t="s">
        <v>477</v>
      </c>
      <c r="B4" s="1" t="s">
        <v>1</v>
      </c>
      <c r="C4" s="1" t="s">
        <v>5</v>
      </c>
      <c r="D4" s="1" t="s">
        <v>6</v>
      </c>
      <c r="E4" s="1" t="s">
        <v>478</v>
      </c>
      <c r="F4" s="1" t="s">
        <v>479</v>
      </c>
      <c r="G4" s="1" t="s">
        <v>497</v>
      </c>
    </row>
    <row r="5" customFormat="false" ht="15" hidden="false" customHeight="false" outlineLevel="0" collapsed="false">
      <c r="A5" s="2" t="n">
        <v>1</v>
      </c>
      <c r="B5" s="2" t="s">
        <v>280</v>
      </c>
      <c r="C5" s="3" t="n">
        <v>1000</v>
      </c>
      <c r="D5" s="2" t="n">
        <v>15</v>
      </c>
      <c r="E5" s="4" t="n">
        <v>3.46</v>
      </c>
      <c r="F5" s="3" t="n">
        <f aca="false">ROUND(C5*(100-D5)/100,0)</f>
        <v>850</v>
      </c>
      <c r="G5" s="2" t="s">
        <v>498</v>
      </c>
    </row>
    <row r="6" customFormat="false" ht="15" hidden="false" customHeight="false" outlineLevel="0" collapsed="false">
      <c r="A6" s="10" t="n">
        <v>2</v>
      </c>
      <c r="B6" s="10" t="s">
        <v>288</v>
      </c>
      <c r="C6" s="11" t="n">
        <v>590</v>
      </c>
      <c r="D6" s="10" t="n">
        <v>10</v>
      </c>
      <c r="E6" s="12" t="n">
        <v>1.03</v>
      </c>
      <c r="F6" s="11" t="n">
        <f aca="false">ROUND(C6*(100-D6)/100,0)</f>
        <v>531</v>
      </c>
      <c r="G6" s="10" t="s">
        <v>499</v>
      </c>
    </row>
    <row r="7" customFormat="false" ht="15" hidden="false" customHeight="false" outlineLevel="0" collapsed="false">
      <c r="A7" s="10" t="n">
        <v>3</v>
      </c>
      <c r="B7" s="10" t="s">
        <v>300</v>
      </c>
      <c r="C7" s="11" t="n">
        <v>390</v>
      </c>
      <c r="D7" s="10" t="n">
        <v>11</v>
      </c>
      <c r="E7" s="12" t="n">
        <v>0.93</v>
      </c>
      <c r="F7" s="11" t="n">
        <f aca="false">ROUND(C7*(100-D7)/100,0)</f>
        <v>347</v>
      </c>
      <c r="G7" s="10" t="s">
        <v>500</v>
      </c>
    </row>
    <row r="8" customFormat="false" ht="15" hidden="false" customHeight="false" outlineLevel="0" collapsed="false">
      <c r="A8" s="10" t="n">
        <v>4</v>
      </c>
      <c r="B8" s="10" t="s">
        <v>308</v>
      </c>
      <c r="C8" s="11" t="n">
        <v>320</v>
      </c>
      <c r="D8" s="10" t="n">
        <v>11</v>
      </c>
      <c r="E8" s="12" t="n">
        <v>1.14</v>
      </c>
      <c r="F8" s="11" t="n">
        <f aca="false">ROUND(C8*(100-D8)/100,0)</f>
        <v>285</v>
      </c>
      <c r="G8" s="10" t="s">
        <v>501</v>
      </c>
    </row>
    <row r="9" customFormat="false" ht="15" hidden="false" customHeight="false" outlineLevel="0" collapsed="false">
      <c r="A9" s="2" t="n">
        <v>5</v>
      </c>
      <c r="B9" s="2" t="s">
        <v>307</v>
      </c>
      <c r="C9" s="3" t="n">
        <v>320</v>
      </c>
      <c r="D9" s="2" t="n">
        <v>13</v>
      </c>
      <c r="E9" s="4" t="n">
        <v>0.99</v>
      </c>
      <c r="F9" s="3" t="n">
        <f aca="false">ROUND(C9*(100-D9)/100,0)</f>
        <v>278</v>
      </c>
      <c r="G9" s="2" t="s">
        <v>502</v>
      </c>
    </row>
    <row r="10" customFormat="false" ht="15" hidden="false" customHeight="false" outlineLevel="0" collapsed="false">
      <c r="A10" s="2" t="n">
        <v>6</v>
      </c>
      <c r="B10" s="2" t="s">
        <v>305</v>
      </c>
      <c r="C10" s="3" t="n">
        <v>320</v>
      </c>
      <c r="D10" s="2" t="n">
        <v>15</v>
      </c>
      <c r="E10" s="4" t="n">
        <v>1.29</v>
      </c>
      <c r="F10" s="3" t="n">
        <f aca="false">ROUND(C10*(100-D10)/100,0)</f>
        <v>272</v>
      </c>
      <c r="G10" s="2" t="s">
        <v>503</v>
      </c>
    </row>
    <row r="11" customFormat="false" ht="15" hidden="false" customHeight="false" outlineLevel="0" collapsed="false">
      <c r="A11" s="2" t="n">
        <v>7</v>
      </c>
      <c r="B11" s="2" t="s">
        <v>306</v>
      </c>
      <c r="C11" s="3" t="n">
        <v>320</v>
      </c>
      <c r="D11" s="2" t="n">
        <v>15</v>
      </c>
      <c r="E11" s="4" t="n">
        <v>0.99</v>
      </c>
      <c r="F11" s="3" t="n">
        <f aca="false">ROUND(C11*(100-D11)/100,0)</f>
        <v>272</v>
      </c>
      <c r="G11" s="2" t="s">
        <v>504</v>
      </c>
    </row>
    <row r="12" customFormat="false" ht="15" hidden="false" customHeight="false" outlineLevel="0" collapsed="false">
      <c r="A12" s="2" t="n">
        <v>8</v>
      </c>
      <c r="B12" s="2" t="s">
        <v>309</v>
      </c>
      <c r="C12" s="3" t="n">
        <v>320</v>
      </c>
      <c r="D12" s="2" t="n">
        <v>15</v>
      </c>
      <c r="E12" s="4" t="n">
        <v>1.02</v>
      </c>
      <c r="F12" s="3" t="n">
        <f aca="false">ROUND(C12*(100-D12)/100,0)</f>
        <v>272</v>
      </c>
      <c r="G12" s="2" t="s">
        <v>505</v>
      </c>
    </row>
    <row r="13" customFormat="false" ht="15" hidden="false" customHeight="false" outlineLevel="0" collapsed="false">
      <c r="A13" s="10" t="n">
        <v>9</v>
      </c>
      <c r="B13" s="10" t="s">
        <v>317</v>
      </c>
      <c r="C13" s="11" t="n">
        <v>260</v>
      </c>
      <c r="D13" s="10" t="n">
        <v>12</v>
      </c>
      <c r="E13" s="12" t="n">
        <v>1.05</v>
      </c>
      <c r="F13" s="11" t="n">
        <f aca="false">ROUND(C13*(100-D13)/100,0)</f>
        <v>229</v>
      </c>
      <c r="G13" s="10" t="s">
        <v>506</v>
      </c>
    </row>
    <row r="14" customFormat="false" ht="15" hidden="false" customHeight="false" outlineLevel="0" collapsed="false">
      <c r="A14" s="2" t="n">
        <v>10</v>
      </c>
      <c r="B14" s="2" t="s">
        <v>316</v>
      </c>
      <c r="C14" s="3" t="n">
        <v>260</v>
      </c>
      <c r="D14" s="2" t="n">
        <v>13</v>
      </c>
      <c r="E14" s="4" t="n">
        <v>1.06</v>
      </c>
      <c r="F14" s="3" t="n">
        <f aca="false">ROUND(C14*(100-D14)/100,0)</f>
        <v>226</v>
      </c>
      <c r="G14" s="2" t="s">
        <v>507</v>
      </c>
    </row>
    <row r="15" customFormat="false" ht="15" hidden="false" customHeight="false" outlineLevel="0" collapsed="false">
      <c r="A15" s="2" t="n">
        <v>11</v>
      </c>
      <c r="B15" s="2" t="s">
        <v>315</v>
      </c>
      <c r="C15" s="3" t="n">
        <v>260</v>
      </c>
      <c r="D15" s="2" t="n">
        <v>14</v>
      </c>
      <c r="E15" s="4" t="n">
        <v>0.92</v>
      </c>
      <c r="F15" s="3" t="n">
        <f aca="false">ROUND(C15*(100-D15)/100,0)</f>
        <v>224</v>
      </c>
      <c r="G15" s="2" t="s">
        <v>508</v>
      </c>
    </row>
    <row r="16" customFormat="false" ht="15" hidden="false" customHeight="false" outlineLevel="0" collapsed="false">
      <c r="A16" s="10" t="n">
        <v>12</v>
      </c>
      <c r="B16" s="10" t="s">
        <v>329</v>
      </c>
      <c r="C16" s="11" t="n">
        <v>210</v>
      </c>
      <c r="D16" s="10" t="n">
        <v>9</v>
      </c>
      <c r="E16" s="12" t="n">
        <v>0.87</v>
      </c>
      <c r="F16" s="11" t="n">
        <f aca="false">ROUND(C16*(100-D16)/100,0)</f>
        <v>191</v>
      </c>
      <c r="G16" s="10" t="s">
        <v>509</v>
      </c>
    </row>
    <row r="17" customFormat="false" ht="15" hidden="false" customHeight="false" outlineLevel="0" collapsed="false">
      <c r="A17" s="10" t="n">
        <v>13</v>
      </c>
      <c r="B17" s="10" t="s">
        <v>328</v>
      </c>
      <c r="C17" s="11" t="n">
        <v>210</v>
      </c>
      <c r="D17" s="10" t="n">
        <v>11</v>
      </c>
      <c r="E17" s="12" t="n">
        <v>0.93</v>
      </c>
      <c r="F17" s="11" t="n">
        <f aca="false">ROUND(C17*(100-D17)/100,0)</f>
        <v>187</v>
      </c>
      <c r="G17" s="10" t="s">
        <v>510</v>
      </c>
    </row>
    <row r="18" customFormat="false" ht="15" hidden="false" customHeight="false" outlineLevel="0" collapsed="false">
      <c r="A18" s="10" t="n">
        <v>14</v>
      </c>
      <c r="B18" s="10" t="s">
        <v>325</v>
      </c>
      <c r="C18" s="11" t="n">
        <v>210</v>
      </c>
      <c r="D18" s="10" t="n">
        <v>12</v>
      </c>
      <c r="E18" s="12" t="n">
        <v>0.75</v>
      </c>
      <c r="F18" s="11" t="n">
        <f aca="false">ROUND(C18*(100-D18)/100,0)</f>
        <v>185</v>
      </c>
      <c r="G18" s="10" t="s">
        <v>511</v>
      </c>
    </row>
    <row r="19" customFormat="false" ht="15" hidden="false" customHeight="false" outlineLevel="0" collapsed="false">
      <c r="A19" s="10" t="n">
        <v>15</v>
      </c>
      <c r="B19" s="10" t="s">
        <v>326</v>
      </c>
      <c r="C19" s="11" t="n">
        <v>210</v>
      </c>
      <c r="D19" s="10" t="n">
        <v>12</v>
      </c>
      <c r="E19" s="12" t="n">
        <v>1.1</v>
      </c>
      <c r="F19" s="11" t="n">
        <f aca="false">ROUND(C19*(100-D19)/100,0)</f>
        <v>185</v>
      </c>
      <c r="G19" s="10" t="s">
        <v>512</v>
      </c>
    </row>
    <row r="20" customFormat="false" ht="15" hidden="false" customHeight="false" outlineLevel="0" collapsed="false">
      <c r="A20" s="10" t="n">
        <v>16</v>
      </c>
      <c r="B20" s="10" t="s">
        <v>327</v>
      </c>
      <c r="C20" s="11" t="n">
        <v>210</v>
      </c>
      <c r="D20" s="10" t="n">
        <v>12</v>
      </c>
      <c r="E20" s="12" t="n">
        <v>1</v>
      </c>
      <c r="F20" s="11" t="n">
        <f aca="false">ROUND(C20*(100-D20)/100,0)</f>
        <v>185</v>
      </c>
      <c r="G20" s="10" t="s">
        <v>513</v>
      </c>
    </row>
    <row r="21" customFormat="false" ht="15" hidden="false" customHeight="false" outlineLevel="0" collapsed="false">
      <c r="A21" s="2" t="n">
        <v>17</v>
      </c>
      <c r="B21" s="2" t="s">
        <v>332</v>
      </c>
      <c r="C21" s="3" t="n">
        <v>210</v>
      </c>
      <c r="D21" s="2" t="n">
        <v>14</v>
      </c>
      <c r="E21" s="4" t="n">
        <v>1.14</v>
      </c>
      <c r="F21" s="3" t="n">
        <f aca="false">ROUND(C21*(100-D21)/100,0)</f>
        <v>181</v>
      </c>
      <c r="G21" s="2" t="s">
        <v>501</v>
      </c>
    </row>
    <row r="22" customFormat="false" ht="15" hidden="false" customHeight="false" outlineLevel="0" collapsed="false">
      <c r="A22" s="2" t="n">
        <v>18</v>
      </c>
      <c r="B22" s="2" t="s">
        <v>330</v>
      </c>
      <c r="C22" s="3" t="n">
        <v>210</v>
      </c>
      <c r="D22" s="2" t="n">
        <v>15</v>
      </c>
      <c r="E22" s="4" t="n">
        <v>3.46</v>
      </c>
      <c r="F22" s="3" t="n">
        <f aca="false">ROUND(C22*(100-D22)/100,0)</f>
        <v>179</v>
      </c>
      <c r="G22" s="2" t="s">
        <v>498</v>
      </c>
    </row>
    <row r="23" customFormat="false" ht="15" hidden="false" customHeight="false" outlineLevel="0" collapsed="false">
      <c r="A23" s="2" t="n">
        <v>19</v>
      </c>
      <c r="B23" s="2" t="s">
        <v>331</v>
      </c>
      <c r="C23" s="3" t="n">
        <v>210</v>
      </c>
      <c r="D23" s="2" t="n">
        <v>15</v>
      </c>
      <c r="E23" s="4" t="n">
        <v>2.58</v>
      </c>
      <c r="F23" s="3" t="n">
        <f aca="false">ROUND(C23*(100-D23)/100,0)</f>
        <v>179</v>
      </c>
      <c r="G23" s="2" t="s">
        <v>514</v>
      </c>
    </row>
    <row r="24" customFormat="false" ht="15" hidden="false" customHeight="false" outlineLevel="0" collapsed="false">
      <c r="A24" s="10" t="n">
        <v>20</v>
      </c>
      <c r="B24" s="10" t="s">
        <v>349</v>
      </c>
      <c r="C24" s="11" t="n">
        <v>170</v>
      </c>
      <c r="D24" s="10" t="n">
        <v>9</v>
      </c>
      <c r="E24" s="12" t="n">
        <v>0.92</v>
      </c>
      <c r="F24" s="11" t="n">
        <f aca="false">ROUND(C24*(100-D24)/100,0)</f>
        <v>155</v>
      </c>
      <c r="G24" s="10" t="s">
        <v>515</v>
      </c>
    </row>
    <row r="25" customFormat="false" ht="15" hidden="false" customHeight="false" outlineLevel="0" collapsed="false">
      <c r="A25" s="10" t="n">
        <v>21</v>
      </c>
      <c r="B25" s="10" t="s">
        <v>350</v>
      </c>
      <c r="C25" s="11" t="n">
        <v>170</v>
      </c>
      <c r="D25" s="10" t="n">
        <v>9</v>
      </c>
      <c r="E25" s="12" t="n">
        <v>1.05</v>
      </c>
      <c r="F25" s="11" t="n">
        <f aca="false">ROUND(C25*(100-D25)/100,0)</f>
        <v>155</v>
      </c>
      <c r="G25" s="10" t="s">
        <v>506</v>
      </c>
    </row>
    <row r="26" customFormat="false" ht="15" hidden="false" customHeight="false" outlineLevel="0" collapsed="false">
      <c r="A26" s="10" t="n">
        <v>22</v>
      </c>
      <c r="B26" s="10" t="s">
        <v>351</v>
      </c>
      <c r="C26" s="11" t="n">
        <v>170</v>
      </c>
      <c r="D26" s="10" t="n">
        <v>9</v>
      </c>
      <c r="E26" s="12" t="n">
        <v>0.74</v>
      </c>
      <c r="F26" s="11" t="n">
        <f aca="false">ROUND(C26*(100-D26)/100,0)</f>
        <v>155</v>
      </c>
      <c r="G26" s="10" t="s">
        <v>516</v>
      </c>
    </row>
    <row r="27" customFormat="false" ht="15" hidden="false" customHeight="false" outlineLevel="0" collapsed="false">
      <c r="A27" s="10" t="n">
        <v>23</v>
      </c>
      <c r="B27" s="10" t="s">
        <v>352</v>
      </c>
      <c r="C27" s="11" t="n">
        <v>170</v>
      </c>
      <c r="D27" s="10" t="n">
        <v>9</v>
      </c>
      <c r="E27" s="12" t="n">
        <v>1.02</v>
      </c>
      <c r="F27" s="11" t="n">
        <f aca="false">ROUND(C27*(100-D27)/100,0)</f>
        <v>155</v>
      </c>
      <c r="G27" s="10" t="s">
        <v>505</v>
      </c>
    </row>
    <row r="28" customFormat="false" ht="15" hidden="false" customHeight="false" outlineLevel="0" collapsed="false">
      <c r="A28" s="10" t="n">
        <v>24</v>
      </c>
      <c r="B28" s="10" t="s">
        <v>353</v>
      </c>
      <c r="C28" s="11" t="n">
        <v>170</v>
      </c>
      <c r="D28" s="10" t="n">
        <v>10</v>
      </c>
      <c r="E28" s="12" t="n">
        <v>1.14</v>
      </c>
      <c r="F28" s="11" t="n">
        <f aca="false">ROUND(C28*(100-D28)/100,0)</f>
        <v>153</v>
      </c>
      <c r="G28" s="10" t="s">
        <v>500</v>
      </c>
    </row>
    <row r="29" customFormat="false" ht="15" hidden="false" customHeight="false" outlineLevel="0" collapsed="false">
      <c r="A29" s="10" t="n">
        <v>25</v>
      </c>
      <c r="B29" s="10" t="s">
        <v>346</v>
      </c>
      <c r="C29" s="11" t="n">
        <v>170</v>
      </c>
      <c r="D29" s="10" t="n">
        <v>11</v>
      </c>
      <c r="E29" s="12" t="n">
        <v>4.14</v>
      </c>
      <c r="F29" s="11" t="n">
        <f aca="false">ROUND(C29*(100-D29)/100,0)</f>
        <v>151</v>
      </c>
      <c r="G29" s="10" t="s">
        <v>517</v>
      </c>
    </row>
    <row r="30" customFormat="false" ht="15" hidden="false" customHeight="false" outlineLevel="0" collapsed="false">
      <c r="A30" s="10" t="n">
        <v>26</v>
      </c>
      <c r="B30" s="10" t="s">
        <v>347</v>
      </c>
      <c r="C30" s="11" t="n">
        <v>170</v>
      </c>
      <c r="D30" s="10" t="n">
        <v>11</v>
      </c>
      <c r="E30" s="12" t="n">
        <v>0.88</v>
      </c>
      <c r="F30" s="11" t="n">
        <f aca="false">ROUND(C30*(100-D30)/100,0)</f>
        <v>151</v>
      </c>
      <c r="G30" s="10" t="s">
        <v>518</v>
      </c>
    </row>
    <row r="31" customFormat="false" ht="15" hidden="false" customHeight="false" outlineLevel="0" collapsed="false">
      <c r="A31" s="10" t="n">
        <v>27</v>
      </c>
      <c r="B31" s="10" t="s">
        <v>348</v>
      </c>
      <c r="C31" s="11" t="n">
        <v>170</v>
      </c>
      <c r="D31" s="10" t="n">
        <v>12</v>
      </c>
      <c r="E31" s="12" t="n">
        <v>0.87</v>
      </c>
      <c r="F31" s="11" t="n">
        <f aca="false">ROUND(C31*(100-D31)/100,0)</f>
        <v>150</v>
      </c>
      <c r="G31" s="10" t="s">
        <v>509</v>
      </c>
    </row>
    <row r="32" customFormat="false" ht="15" hidden="false" customHeight="false" outlineLevel="0" collapsed="false">
      <c r="A32" s="10" t="n">
        <v>28</v>
      </c>
      <c r="B32" s="10" t="s">
        <v>354</v>
      </c>
      <c r="C32" s="11" t="n">
        <v>170</v>
      </c>
      <c r="D32" s="10" t="n">
        <v>12</v>
      </c>
      <c r="E32" s="12" t="n">
        <v>0.91</v>
      </c>
      <c r="F32" s="11" t="n">
        <f aca="false">ROUND(C32*(100-D32)/100,0)</f>
        <v>150</v>
      </c>
      <c r="G32" s="10" t="s">
        <v>511</v>
      </c>
    </row>
    <row r="33" customFormat="false" ht="15" hidden="false" customHeight="false" outlineLevel="0" collapsed="false">
      <c r="A33" s="2" t="n">
        <v>29</v>
      </c>
      <c r="B33" s="2" t="s">
        <v>344</v>
      </c>
      <c r="C33" s="3" t="n">
        <v>170</v>
      </c>
      <c r="D33" s="2" t="n">
        <v>13</v>
      </c>
      <c r="E33" s="4" t="n">
        <v>1.04</v>
      </c>
      <c r="F33" s="3" t="n">
        <f aca="false">ROUND(C33*(100-D33)/100,0)</f>
        <v>148</v>
      </c>
      <c r="G33" s="2" t="s">
        <v>519</v>
      </c>
    </row>
    <row r="34" customFormat="false" ht="15" hidden="false" customHeight="false" outlineLevel="0" collapsed="false">
      <c r="A34" s="2" t="n">
        <v>30</v>
      </c>
      <c r="B34" s="2" t="s">
        <v>345</v>
      </c>
      <c r="C34" s="3" t="n">
        <v>170</v>
      </c>
      <c r="D34" s="2" t="n">
        <v>13</v>
      </c>
      <c r="E34" s="4" t="n">
        <v>0.79</v>
      </c>
      <c r="F34" s="3" t="n">
        <f aca="false">ROUND(C34*(100-D34)/100,0)</f>
        <v>148</v>
      </c>
      <c r="G34" s="2" t="s">
        <v>520</v>
      </c>
    </row>
    <row r="35" customFormat="false" ht="15" hidden="false" customHeight="false" outlineLevel="0" collapsed="false">
      <c r="A35" s="10" t="n">
        <v>31</v>
      </c>
      <c r="B35" s="10" t="s">
        <v>383</v>
      </c>
      <c r="C35" s="11" t="n">
        <v>140</v>
      </c>
      <c r="D35" s="10" t="n">
        <v>9</v>
      </c>
      <c r="E35" s="12" t="n">
        <v>0.96</v>
      </c>
      <c r="F35" s="11" t="n">
        <f aca="false">ROUND(C35*(100-D35)/100,0)</f>
        <v>127</v>
      </c>
      <c r="G35" s="10" t="s">
        <v>521</v>
      </c>
    </row>
    <row r="36" customFormat="false" ht="15" hidden="false" customHeight="false" outlineLevel="0" collapsed="false">
      <c r="A36" s="10" t="n">
        <v>32</v>
      </c>
      <c r="B36" s="10" t="s">
        <v>384</v>
      </c>
      <c r="C36" s="11" t="n">
        <v>140</v>
      </c>
      <c r="D36" s="10" t="n">
        <v>9</v>
      </c>
      <c r="E36" s="12" t="n">
        <v>0.96</v>
      </c>
      <c r="F36" s="11" t="n">
        <f aca="false">ROUND(C36*(100-D36)/100,0)</f>
        <v>127</v>
      </c>
      <c r="G36" s="10" t="s">
        <v>522</v>
      </c>
    </row>
    <row r="37" customFormat="false" ht="15" hidden="false" customHeight="false" outlineLevel="0" collapsed="false">
      <c r="A37" s="10" t="n">
        <v>33</v>
      </c>
      <c r="B37" s="10" t="s">
        <v>385</v>
      </c>
      <c r="C37" s="11" t="n">
        <v>140</v>
      </c>
      <c r="D37" s="10" t="n">
        <v>11</v>
      </c>
      <c r="E37" s="12" t="n">
        <v>0.84</v>
      </c>
      <c r="F37" s="11" t="n">
        <f aca="false">ROUND(C37*(100-D37)/100,0)</f>
        <v>125</v>
      </c>
      <c r="G37" s="10" t="s">
        <v>511</v>
      </c>
    </row>
    <row r="38" customFormat="false" ht="15" hidden="false" customHeight="false" outlineLevel="0" collapsed="false">
      <c r="A38" s="10" t="n">
        <v>34</v>
      </c>
      <c r="B38" s="10" t="s">
        <v>381</v>
      </c>
      <c r="C38" s="11" t="n">
        <v>140</v>
      </c>
      <c r="D38" s="10" t="n">
        <v>12</v>
      </c>
      <c r="E38" s="12" t="n">
        <v>1.03</v>
      </c>
      <c r="F38" s="11" t="n">
        <f aca="false">ROUND(C38*(100-D38)/100,0)</f>
        <v>123</v>
      </c>
      <c r="G38" s="10" t="s">
        <v>499</v>
      </c>
    </row>
    <row r="39" customFormat="false" ht="15" hidden="false" customHeight="false" outlineLevel="0" collapsed="false">
      <c r="A39" s="2" t="n">
        <v>35</v>
      </c>
      <c r="B39" s="2" t="s">
        <v>377</v>
      </c>
      <c r="C39" s="3" t="n">
        <v>140</v>
      </c>
      <c r="D39" s="2" t="n">
        <v>13</v>
      </c>
      <c r="E39" s="4" t="n">
        <v>0.99</v>
      </c>
      <c r="F39" s="3" t="n">
        <f aca="false">ROUND(C39*(100-D39)/100,0)</f>
        <v>122</v>
      </c>
      <c r="G39" s="2" t="s">
        <v>504</v>
      </c>
    </row>
    <row r="40" customFormat="false" ht="15" hidden="false" customHeight="false" outlineLevel="0" collapsed="false">
      <c r="A40" s="2" t="n">
        <v>36</v>
      </c>
      <c r="B40" s="2" t="s">
        <v>378</v>
      </c>
      <c r="C40" s="3" t="n">
        <v>140</v>
      </c>
      <c r="D40" s="2" t="n">
        <v>13</v>
      </c>
      <c r="E40" s="4" t="n">
        <v>0.68</v>
      </c>
      <c r="F40" s="3" t="n">
        <f aca="false">ROUND(C40*(100-D40)/100,0)</f>
        <v>122</v>
      </c>
      <c r="G40" s="2" t="s">
        <v>523</v>
      </c>
    </row>
    <row r="41" customFormat="false" ht="15" hidden="false" customHeight="false" outlineLevel="0" collapsed="false">
      <c r="A41" s="2" t="n">
        <v>37</v>
      </c>
      <c r="B41" s="2" t="s">
        <v>379</v>
      </c>
      <c r="C41" s="3" t="n">
        <v>140</v>
      </c>
      <c r="D41" s="2" t="n">
        <v>13</v>
      </c>
      <c r="E41" s="4" t="n">
        <v>0.92</v>
      </c>
      <c r="F41" s="3" t="n">
        <f aca="false">ROUND(C41*(100-D41)/100,0)</f>
        <v>122</v>
      </c>
      <c r="G41" s="2" t="s">
        <v>508</v>
      </c>
    </row>
    <row r="42" customFormat="false" ht="15" hidden="false" customHeight="false" outlineLevel="0" collapsed="false">
      <c r="A42" s="2" t="n">
        <v>38</v>
      </c>
      <c r="B42" s="2" t="s">
        <v>380</v>
      </c>
      <c r="C42" s="3" t="n">
        <v>140</v>
      </c>
      <c r="D42" s="2" t="n">
        <v>13</v>
      </c>
      <c r="E42" s="4" t="n">
        <v>0.68</v>
      </c>
      <c r="F42" s="3" t="n">
        <f aca="false">ROUND(C42*(100-D42)/100,0)</f>
        <v>122</v>
      </c>
      <c r="G42" s="2" t="s">
        <v>524</v>
      </c>
    </row>
    <row r="43" customFormat="false" ht="15" hidden="false" customHeight="false" outlineLevel="0" collapsed="false">
      <c r="A43" s="2" t="n">
        <v>39</v>
      </c>
      <c r="B43" s="2" t="s">
        <v>374</v>
      </c>
      <c r="C43" s="3" t="n">
        <v>140</v>
      </c>
      <c r="D43" s="2" t="n">
        <v>15</v>
      </c>
      <c r="E43" s="4" t="n">
        <v>1.57</v>
      </c>
      <c r="F43" s="3" t="n">
        <f aca="false">ROUND(C43*(100-D43)/100,0)</f>
        <v>119</v>
      </c>
      <c r="G43" s="2" t="s">
        <v>525</v>
      </c>
    </row>
    <row r="44" customFormat="false" ht="15" hidden="false" customHeight="false" outlineLevel="0" collapsed="false">
      <c r="A44" s="2" t="n">
        <v>40</v>
      </c>
      <c r="B44" s="2" t="s">
        <v>375</v>
      </c>
      <c r="C44" s="3" t="n">
        <v>140</v>
      </c>
      <c r="D44" s="2" t="n">
        <v>15</v>
      </c>
      <c r="E44" s="4" t="n">
        <v>0.8</v>
      </c>
      <c r="F44" s="3" t="n">
        <f aca="false">ROUND(C44*(100-D44)/100,0)</f>
        <v>119</v>
      </c>
      <c r="G44" s="2" t="s">
        <v>509</v>
      </c>
    </row>
    <row r="45" customFormat="false" ht="15" hidden="false" customHeight="false" outlineLevel="0" collapsed="false">
      <c r="A45" s="2" t="n">
        <v>41</v>
      </c>
      <c r="B45" s="2" t="s">
        <v>376</v>
      </c>
      <c r="C45" s="3" t="n">
        <v>140</v>
      </c>
      <c r="D45" s="2" t="n">
        <v>15</v>
      </c>
      <c r="E45" s="4" t="n">
        <v>0.8</v>
      </c>
      <c r="F45" s="3" t="n">
        <f aca="false">ROUND(C45*(100-D45)/100,0)</f>
        <v>119</v>
      </c>
      <c r="G45" s="2" t="s">
        <v>509</v>
      </c>
    </row>
    <row r="46" customFormat="false" ht="15" hidden="false" customHeight="false" outlineLevel="0" collapsed="false">
      <c r="A46" s="10" t="n">
        <v>42</v>
      </c>
      <c r="B46" s="10" t="s">
        <v>421</v>
      </c>
      <c r="C46" s="11" t="n">
        <v>110</v>
      </c>
      <c r="D46" s="10" t="n">
        <v>9</v>
      </c>
      <c r="E46" s="12" t="n">
        <v>0.79</v>
      </c>
      <c r="F46" s="11" t="n">
        <f aca="false">ROUND(C46*(100-D46)/100,0)</f>
        <v>100</v>
      </c>
      <c r="G46" s="10" t="s">
        <v>526</v>
      </c>
    </row>
    <row r="47" customFormat="false" ht="15" hidden="false" customHeight="false" outlineLevel="0" collapsed="false">
      <c r="A47" s="10" t="n">
        <v>43</v>
      </c>
      <c r="B47" s="10" t="s">
        <v>419</v>
      </c>
      <c r="C47" s="11" t="n">
        <v>110</v>
      </c>
      <c r="D47" s="10" t="n">
        <v>10</v>
      </c>
      <c r="E47" s="12" t="n">
        <v>0.93</v>
      </c>
      <c r="F47" s="11" t="n">
        <f aca="false">ROUND(C47*(100-D47)/100,0)</f>
        <v>99</v>
      </c>
      <c r="G47" s="10" t="s">
        <v>510</v>
      </c>
    </row>
    <row r="48" customFormat="false" ht="15" hidden="false" customHeight="false" outlineLevel="0" collapsed="false">
      <c r="A48" s="10" t="n">
        <v>44</v>
      </c>
      <c r="B48" s="10" t="s">
        <v>420</v>
      </c>
      <c r="C48" s="11" t="n">
        <v>110</v>
      </c>
      <c r="D48" s="10" t="n">
        <v>10</v>
      </c>
      <c r="E48" s="12" t="n">
        <v>1.13</v>
      </c>
      <c r="F48" s="11" t="n">
        <f aca="false">ROUND(C48*(100-D48)/100,0)</f>
        <v>99</v>
      </c>
      <c r="G48" s="10" t="s">
        <v>527</v>
      </c>
    </row>
    <row r="49" customFormat="false" ht="15" hidden="false" customHeight="false" outlineLevel="0" collapsed="false">
      <c r="A49" s="10" t="n">
        <v>45</v>
      </c>
      <c r="B49" s="10" t="s">
        <v>413</v>
      </c>
      <c r="C49" s="11" t="n">
        <v>110</v>
      </c>
      <c r="D49" s="10" t="n">
        <v>11</v>
      </c>
      <c r="E49" s="12" t="n">
        <v>0.99</v>
      </c>
      <c r="F49" s="11" t="n">
        <f aca="false">ROUND(C49*(100-D49)/100,0)</f>
        <v>98</v>
      </c>
      <c r="G49" s="10" t="s">
        <v>528</v>
      </c>
    </row>
    <row r="50" customFormat="false" ht="15" hidden="false" customHeight="false" outlineLevel="0" collapsed="false">
      <c r="A50" s="10" t="n">
        <v>46</v>
      </c>
      <c r="B50" s="10" t="s">
        <v>415</v>
      </c>
      <c r="C50" s="11" t="n">
        <v>110</v>
      </c>
      <c r="D50" s="10" t="n">
        <v>11</v>
      </c>
      <c r="E50" s="12" t="n">
        <v>0.95</v>
      </c>
      <c r="F50" s="11" t="n">
        <f aca="false">ROUND(C50*(100-D50)/100,0)</f>
        <v>98</v>
      </c>
      <c r="G50" s="10" t="s">
        <v>529</v>
      </c>
    </row>
    <row r="51" customFormat="false" ht="15" hidden="false" customHeight="false" outlineLevel="0" collapsed="false">
      <c r="A51" s="10" t="n">
        <v>47</v>
      </c>
      <c r="B51" s="10" t="s">
        <v>412</v>
      </c>
      <c r="C51" s="11" t="n">
        <v>110</v>
      </c>
      <c r="D51" s="10" t="n">
        <v>12</v>
      </c>
      <c r="E51" s="12" t="n">
        <v>1.69</v>
      </c>
      <c r="F51" s="11" t="n">
        <f aca="false">ROUND(C51*(100-D51)/100,0)</f>
        <v>97</v>
      </c>
      <c r="G51" s="10" t="s">
        <v>528</v>
      </c>
    </row>
    <row r="52" customFormat="false" ht="15" hidden="false" customHeight="false" outlineLevel="0" collapsed="false">
      <c r="A52" s="10" t="n">
        <v>48</v>
      </c>
      <c r="B52" s="10" t="s">
        <v>416</v>
      </c>
      <c r="C52" s="11" t="n">
        <v>110</v>
      </c>
      <c r="D52" s="10" t="n">
        <v>12</v>
      </c>
      <c r="E52" s="12" t="n">
        <v>0.78</v>
      </c>
      <c r="F52" s="11" t="n">
        <f aca="false">ROUND(C52*(100-D52)/100,0)</f>
        <v>97</v>
      </c>
      <c r="G52" s="10" t="s">
        <v>530</v>
      </c>
    </row>
    <row r="53" customFormat="false" ht="15" hidden="false" customHeight="false" outlineLevel="0" collapsed="false">
      <c r="A53" s="10" t="n">
        <v>49</v>
      </c>
      <c r="B53" s="10" t="s">
        <v>417</v>
      </c>
      <c r="C53" s="11" t="n">
        <v>110</v>
      </c>
      <c r="D53" s="10" t="n">
        <v>12</v>
      </c>
      <c r="E53" s="12" t="n">
        <v>0.86</v>
      </c>
      <c r="F53" s="11" t="n">
        <f aca="false">ROUND(C53*(100-D53)/100,0)</f>
        <v>97</v>
      </c>
      <c r="G53" s="10" t="s">
        <v>531</v>
      </c>
    </row>
    <row r="54" customFormat="false" ht="15" hidden="false" customHeight="false" outlineLevel="0" collapsed="false">
      <c r="A54" s="10" t="n">
        <v>50</v>
      </c>
      <c r="B54" s="10" t="s">
        <v>422</v>
      </c>
      <c r="C54" s="11" t="n">
        <v>110</v>
      </c>
      <c r="D54" s="10" t="n">
        <v>12</v>
      </c>
      <c r="E54" s="12" t="n">
        <v>0.5</v>
      </c>
      <c r="F54" s="11" t="n">
        <f aca="false">ROUND(C54*(100-D54)/100,0)</f>
        <v>97</v>
      </c>
      <c r="G54" s="10" t="s">
        <v>498</v>
      </c>
    </row>
    <row r="55" customFormat="false" ht="15" hidden="false" customHeight="false" outlineLevel="0" collapsed="false">
      <c r="A55" s="2" t="n">
        <v>51</v>
      </c>
      <c r="B55" s="2" t="s">
        <v>423</v>
      </c>
      <c r="C55" s="3" t="n">
        <v>110</v>
      </c>
      <c r="D55" s="2" t="n">
        <v>13</v>
      </c>
      <c r="E55" s="4" t="n">
        <v>0.96</v>
      </c>
      <c r="F55" s="3" t="n">
        <f aca="false">ROUND(C55*(100-D55)/100,0)</f>
        <v>96</v>
      </c>
      <c r="G55" s="2" t="s">
        <v>522</v>
      </c>
    </row>
    <row r="56" customFormat="false" ht="15" hidden="false" customHeight="false" outlineLevel="0" collapsed="false">
      <c r="A56" s="2" t="n">
        <v>52</v>
      </c>
      <c r="B56" s="2" t="s">
        <v>418</v>
      </c>
      <c r="C56" s="3" t="n">
        <v>110</v>
      </c>
      <c r="D56" s="2" t="n">
        <v>14</v>
      </c>
      <c r="E56" s="4" t="n">
        <v>0.8</v>
      </c>
      <c r="F56" s="3" t="n">
        <f aca="false">ROUND(C56*(100-D56)/100,0)</f>
        <v>95</v>
      </c>
      <c r="G56" s="2" t="s">
        <v>509</v>
      </c>
    </row>
    <row r="57" customFormat="false" ht="15" hidden="false" customHeight="false" outlineLevel="0" collapsed="false">
      <c r="A57" s="2" t="n">
        <v>53</v>
      </c>
      <c r="B57" s="2" t="s">
        <v>414</v>
      </c>
      <c r="C57" s="3" t="n">
        <v>110</v>
      </c>
      <c r="D57" s="2" t="n">
        <v>15</v>
      </c>
      <c r="E57" s="4" t="n">
        <v>0.98</v>
      </c>
      <c r="F57" s="3" t="n">
        <f aca="false">ROUND(C57*(100-D57)/100,0)</f>
        <v>94</v>
      </c>
      <c r="G57" s="2" t="s">
        <v>532</v>
      </c>
    </row>
    <row r="58" customFormat="false" ht="15" hidden="false" customHeight="false" outlineLevel="0" collapsed="false">
      <c r="A58" s="10" t="n">
        <v>54</v>
      </c>
      <c r="B58" s="10" t="s">
        <v>454</v>
      </c>
      <c r="C58" s="11" t="n">
        <v>90</v>
      </c>
      <c r="D58" s="10" t="n">
        <v>9</v>
      </c>
      <c r="E58" s="12" t="n">
        <v>1.78</v>
      </c>
      <c r="F58" s="11" t="n">
        <f aca="false">ROUND(C58*(100-D58)/100,0)</f>
        <v>82</v>
      </c>
      <c r="G58" s="10" t="s">
        <v>533</v>
      </c>
    </row>
    <row r="59" customFormat="false" ht="15" hidden="false" customHeight="false" outlineLevel="0" collapsed="false">
      <c r="A59" s="10" t="n">
        <v>55</v>
      </c>
      <c r="B59" s="10" t="s">
        <v>455</v>
      </c>
      <c r="C59" s="11" t="n">
        <v>90</v>
      </c>
      <c r="D59" s="10" t="n">
        <v>9</v>
      </c>
      <c r="E59" s="12" t="n">
        <v>1.22</v>
      </c>
      <c r="F59" s="11" t="n">
        <f aca="false">ROUND(C59*(100-D59)/100,0)</f>
        <v>82</v>
      </c>
      <c r="G59" s="10" t="s">
        <v>534</v>
      </c>
    </row>
    <row r="60" customFormat="false" ht="15" hidden="false" customHeight="false" outlineLevel="0" collapsed="false">
      <c r="A60" s="10" t="n">
        <v>56</v>
      </c>
      <c r="B60" s="10" t="s">
        <v>452</v>
      </c>
      <c r="C60" s="11" t="n">
        <v>90</v>
      </c>
      <c r="D60" s="10" t="n">
        <v>10</v>
      </c>
      <c r="E60" s="12" t="n">
        <v>0.74</v>
      </c>
      <c r="F60" s="11" t="n">
        <f aca="false">ROUND(C60*(100-D60)/100,0)</f>
        <v>81</v>
      </c>
      <c r="G60" s="10" t="s">
        <v>505</v>
      </c>
    </row>
    <row r="61" customFormat="false" ht="15" hidden="false" customHeight="false" outlineLevel="0" collapsed="false">
      <c r="A61" s="10" t="n">
        <v>57</v>
      </c>
      <c r="B61" s="10" t="s">
        <v>453</v>
      </c>
      <c r="C61" s="11" t="n">
        <v>90</v>
      </c>
      <c r="D61" s="10" t="n">
        <v>10</v>
      </c>
      <c r="E61" s="12" t="n">
        <v>0.88</v>
      </c>
      <c r="F61" s="11" t="n">
        <f aca="false">ROUND(C61*(100-D61)/100,0)</f>
        <v>81</v>
      </c>
      <c r="G61" s="10" t="s">
        <v>516</v>
      </c>
    </row>
    <row r="62" customFormat="false" ht="15" hidden="false" customHeight="false" outlineLevel="0" collapsed="false">
      <c r="A62" s="10" t="n">
        <v>58</v>
      </c>
      <c r="B62" s="10" t="s">
        <v>447</v>
      </c>
      <c r="C62" s="11" t="n">
        <v>90</v>
      </c>
      <c r="D62" s="10" t="n">
        <v>12</v>
      </c>
      <c r="E62" s="12" t="n">
        <v>1.17</v>
      </c>
      <c r="F62" s="11" t="n">
        <f aca="false">ROUND(C62*(100-D62)/100,0)</f>
        <v>79</v>
      </c>
      <c r="G62" s="10" t="s">
        <v>535</v>
      </c>
    </row>
    <row r="63" customFormat="false" ht="15" hidden="false" customHeight="false" outlineLevel="0" collapsed="false">
      <c r="A63" s="10" t="n">
        <v>59</v>
      </c>
      <c r="B63" s="10" t="s">
        <v>448</v>
      </c>
      <c r="C63" s="11" t="n">
        <v>90</v>
      </c>
      <c r="D63" s="10" t="n">
        <v>12</v>
      </c>
      <c r="E63" s="12" t="n">
        <v>0.79</v>
      </c>
      <c r="F63" s="11" t="n">
        <f aca="false">ROUND(C63*(100-D63)/100,0)</f>
        <v>79</v>
      </c>
      <c r="G63" s="10" t="s">
        <v>536</v>
      </c>
    </row>
    <row r="64" customFormat="false" ht="15" hidden="false" customHeight="false" outlineLevel="0" collapsed="false">
      <c r="A64" s="10" t="n">
        <v>60</v>
      </c>
      <c r="B64" s="10" t="s">
        <v>449</v>
      </c>
      <c r="C64" s="11" t="n">
        <v>90</v>
      </c>
      <c r="D64" s="10" t="n">
        <v>12</v>
      </c>
      <c r="E64" s="12" t="n">
        <v>1.78</v>
      </c>
      <c r="F64" s="11" t="n">
        <f aca="false">ROUND(C64*(100-D64)/100,0)</f>
        <v>79</v>
      </c>
      <c r="G64" s="10" t="s">
        <v>537</v>
      </c>
    </row>
    <row r="65" customFormat="false" ht="15" hidden="false" customHeight="false" outlineLevel="0" collapsed="false">
      <c r="A65" s="2" t="n">
        <v>61</v>
      </c>
      <c r="B65" s="2" t="s">
        <v>450</v>
      </c>
      <c r="C65" s="3" t="n">
        <v>90</v>
      </c>
      <c r="D65" s="2" t="n">
        <v>13</v>
      </c>
      <c r="E65" s="4" t="n">
        <v>0.74</v>
      </c>
      <c r="F65" s="3" t="n">
        <f aca="false">ROUND(C65*(100-D65)/100,0)</f>
        <v>78</v>
      </c>
      <c r="G65" s="2" t="s">
        <v>505</v>
      </c>
    </row>
    <row r="66" customFormat="false" ht="15" hidden="false" customHeight="false" outlineLevel="0" collapsed="false">
      <c r="A66" s="2" t="n">
        <v>62</v>
      </c>
      <c r="B66" s="2" t="s">
        <v>451</v>
      </c>
      <c r="C66" s="3" t="n">
        <v>90</v>
      </c>
      <c r="D66" s="2" t="n">
        <v>13</v>
      </c>
      <c r="E66" s="4" t="n">
        <v>1.23</v>
      </c>
      <c r="F66" s="3" t="n">
        <f aca="false">ROUND(C66*(100-D66)/100,0)</f>
        <v>78</v>
      </c>
      <c r="G66" s="2" t="s">
        <v>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8" t="s">
        <v>539</v>
      </c>
    </row>
    <row r="2" customFormat="false" ht="15" hidden="false" customHeight="false" outlineLevel="0" collapsed="false">
      <c r="A2" s="14"/>
    </row>
    <row r="3" customFormat="false" ht="15" hidden="false" customHeight="false" outlineLevel="0" collapsed="false">
      <c r="A3" s="15" t="s">
        <v>540</v>
      </c>
    </row>
    <row r="4" customFormat="false" ht="15" hidden="false" customHeight="false" outlineLevel="0" collapsed="false">
      <c r="A4" s="14" t="s">
        <v>541</v>
      </c>
    </row>
    <row r="5" customFormat="false" ht="15" hidden="false" customHeight="false" outlineLevel="0" collapsed="false">
      <c r="A5" s="14" t="s">
        <v>542</v>
      </c>
    </row>
    <row r="6" customFormat="false" ht="15" hidden="false" customHeight="false" outlineLevel="0" collapsed="false">
      <c r="A6" s="14" t="s">
        <v>543</v>
      </c>
    </row>
    <row r="7" customFormat="false" ht="15" hidden="false" customHeight="false" outlineLevel="0" collapsed="false">
      <c r="A7" s="14" t="s">
        <v>544</v>
      </c>
    </row>
    <row r="8" customFormat="false" ht="15" hidden="false" customHeight="false" outlineLevel="0" collapsed="false">
      <c r="A8" s="14"/>
    </row>
    <row r="9" customFormat="false" ht="15" hidden="false" customHeight="false" outlineLevel="0" collapsed="false">
      <c r="A9" s="15" t="s">
        <v>545</v>
      </c>
    </row>
    <row r="10" customFormat="false" ht="15" hidden="false" customHeight="false" outlineLevel="0" collapsed="false">
      <c r="A10" s="14" t="s">
        <v>546</v>
      </c>
    </row>
    <row r="11" customFormat="false" ht="15" hidden="false" customHeight="false" outlineLevel="0" collapsed="false">
      <c r="A11" s="14" t="s">
        <v>547</v>
      </c>
    </row>
    <row r="12" customFormat="false" ht="15" hidden="false" customHeight="false" outlineLevel="0" collapsed="false">
      <c r="A12" s="14" t="s">
        <v>548</v>
      </c>
    </row>
    <row r="13" customFormat="false" ht="15" hidden="false" customHeight="false" outlineLevel="0" collapsed="false">
      <c r="A13" s="14" t="s">
        <v>549</v>
      </c>
    </row>
    <row r="14" customFormat="false" ht="15" hidden="false" customHeight="false" outlineLevel="0" collapsed="false">
      <c r="A14" s="14" t="s">
        <v>550</v>
      </c>
    </row>
    <row r="15" customFormat="false" ht="15" hidden="false" customHeight="false" outlineLevel="0" collapsed="false">
      <c r="A15" s="14" t="s">
        <v>551</v>
      </c>
    </row>
    <row r="16" customFormat="false" ht="15" hidden="false" customHeight="false" outlineLevel="0" collapsed="false">
      <c r="A16" s="14"/>
    </row>
    <row r="17" customFormat="false" ht="15" hidden="false" customHeight="false" outlineLevel="0" collapsed="false">
      <c r="A17" s="14" t="s">
        <v>552</v>
      </c>
    </row>
    <row r="18" customFormat="false" ht="15" hidden="false" customHeight="false" outlineLevel="0" collapsed="false">
      <c r="A18" s="14"/>
    </row>
    <row r="19" customFormat="false" ht="15" hidden="false" customHeight="false" outlineLevel="0" collapsed="false">
      <c r="A19" s="15" t="s">
        <v>553</v>
      </c>
    </row>
    <row r="20" customFormat="false" ht="15" hidden="false" customHeight="false" outlineLevel="0" collapsed="false">
      <c r="A20" s="14" t="s">
        <v>554</v>
      </c>
    </row>
    <row r="21" customFormat="false" ht="15" hidden="false" customHeight="false" outlineLevel="0" collapsed="false">
      <c r="A21" s="14" t="s">
        <v>555</v>
      </c>
    </row>
    <row r="22" customFormat="false" ht="15" hidden="false" customHeight="false" outlineLevel="0" collapsed="false">
      <c r="A22" s="14"/>
    </row>
    <row r="23" customFormat="false" ht="15" hidden="false" customHeight="false" outlineLevel="0" collapsed="false">
      <c r="A23" s="15" t="s">
        <v>556</v>
      </c>
    </row>
    <row r="24" customFormat="false" ht="15" hidden="false" customHeight="false" outlineLevel="0" collapsed="false">
      <c r="A24" s="14" t="s">
        <v>557</v>
      </c>
    </row>
    <row r="25" customFormat="false" ht="15" hidden="false" customHeight="false" outlineLevel="0" collapsed="false">
      <c r="A25" s="14"/>
    </row>
    <row r="26" customFormat="false" ht="15" hidden="false" customHeight="false" outlineLevel="0" collapsed="false">
      <c r="A26" s="15" t="s">
        <v>558</v>
      </c>
    </row>
    <row r="27" customFormat="false" ht="15" hidden="false" customHeight="false" outlineLevel="0" collapsed="false">
      <c r="A27" s="14" t="s">
        <v>559</v>
      </c>
    </row>
    <row r="28" customFormat="false" ht="15" hidden="false" customHeight="false" outlineLevel="0" collapsed="false">
      <c r="A28" s="14" t="s">
        <v>560</v>
      </c>
    </row>
    <row r="29" customFormat="false" ht="15" hidden="false" customHeight="false" outlineLevel="0" collapsed="false">
      <c r="A29" s="14" t="s">
        <v>561</v>
      </c>
    </row>
    <row r="30" customFormat="false" ht="15" hidden="false" customHeight="false" outlineLevel="0" collapsed="false">
      <c r="A30" s="14" t="s">
        <v>562</v>
      </c>
    </row>
    <row r="31" customFormat="false" ht="15" hidden="false" customHeight="false" outlineLevel="0" collapsed="false">
      <c r="A31" s="14" t="s">
        <v>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2026-07-29T08:59:05Z</dcterms:created>
  <dc:creator>openpyxl</dc:creator>
  <dc:description/>
  <dc:language>en-US</dc:language>
  <cp:lastModifiedBy/>
  <dcterms:modified xsi:type="dcterms:W3CDTF">2026-07-29T08:59:06Z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